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27795" windowHeight="1182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definedNames>
    <definedName name="files">Sheet1!$L$3:$L$31</definedName>
  </definedNames>
  <calcPr calcId="145621" calcMode="manual"/>
</workbook>
</file>

<file path=xl/calcChain.xml><?xml version="1.0" encoding="utf-8"?>
<calcChain xmlns="http://schemas.openxmlformats.org/spreadsheetml/2006/main">
  <c r="K31" i="1" l="1"/>
  <c r="K28" i="1"/>
  <c r="K7" i="1"/>
  <c r="K6" i="1"/>
  <c r="K5" i="1"/>
  <c r="K4" i="1"/>
  <c r="K3" i="1"/>
  <c r="M4" i="1"/>
  <c r="L4" i="1" l="1"/>
  <c r="L5" i="1"/>
  <c r="L6" i="1"/>
  <c r="L7" i="1"/>
  <c r="L13" i="1"/>
  <c r="L28" i="1"/>
  <c r="L31" i="1"/>
  <c r="L3" i="1"/>
  <c r="K29" i="1"/>
  <c r="L29" i="1" s="1"/>
  <c r="I4" i="1"/>
  <c r="I5" i="1"/>
  <c r="I6" i="1"/>
  <c r="I7" i="1"/>
  <c r="I3" i="1"/>
  <c r="K13" i="1" s="1"/>
  <c r="M5" i="1" l="1"/>
  <c r="K11" i="1"/>
  <c r="L11" i="1" s="1"/>
  <c r="K16" i="1"/>
  <c r="L16" i="1" s="1"/>
  <c r="K15" i="1"/>
  <c r="L15" i="1" s="1"/>
  <c r="K10" i="1"/>
  <c r="L10" i="1" s="1"/>
  <c r="K14" i="1"/>
  <c r="L14" i="1" s="1"/>
  <c r="K9" i="1"/>
  <c r="L9" i="1" s="1"/>
  <c r="K17" i="1"/>
  <c r="L17" i="1" s="1"/>
  <c r="K12" i="1"/>
  <c r="L12" i="1" s="1"/>
  <c r="K8" i="1"/>
  <c r="L8" i="1" s="1"/>
  <c r="K30" i="1"/>
  <c r="L30" i="1" s="1"/>
  <c r="M3" i="1"/>
  <c r="N3" i="1" s="1"/>
  <c r="K19" i="1" l="1"/>
  <c r="L19" i="1" s="1"/>
  <c r="K18" i="1"/>
  <c r="L18" i="1" s="1"/>
  <c r="K21" i="1"/>
  <c r="L21" i="1" s="1"/>
  <c r="K22" i="1"/>
  <c r="L22" i="1" s="1"/>
  <c r="K20" i="1"/>
  <c r="L20" i="1" s="1"/>
  <c r="K27" i="1" l="1"/>
  <c r="L27" i="1" s="1"/>
  <c r="K23" i="1"/>
  <c r="L23" i="1" s="1"/>
  <c r="K25" i="1"/>
  <c r="L25" i="1" s="1"/>
  <c r="K26" i="1"/>
  <c r="L26" i="1" s="1"/>
  <c r="K24" i="1"/>
  <c r="L24" i="1" s="1"/>
</calcChain>
</file>

<file path=xl/sharedStrings.xml><?xml version="1.0" encoding="utf-8"?>
<sst xmlns="http://schemas.openxmlformats.org/spreadsheetml/2006/main" count="12" uniqueCount="11">
  <si>
    <t>Start Sheet</t>
  </si>
  <si>
    <t>End Sheet</t>
  </si>
  <si>
    <t>Input Path</t>
  </si>
  <si>
    <t>Output Path</t>
  </si>
  <si>
    <t>Eval</t>
  </si>
  <si>
    <t>H:\ATLRFI\FEDEX\Wc2017</t>
  </si>
  <si>
    <t>AO</t>
  </si>
  <si>
    <t>CA</t>
  </si>
  <si>
    <t>FL</t>
  </si>
  <si>
    <t>NJ</t>
  </si>
  <si>
    <t>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</si>
</sst>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0" fontId="0" fillId="2" borderId="1" xfId="0" applyFill="1" applyBorder="1"/>
    <xf numFmtId="14" fontId="2" fillId="0" borderId="0" xfId="0" applyNumberFormat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TLRFI\FEDEX\Wc2017\2282017\2017%20AO\022017_AO_Ind_Exh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t Macro"/>
      <sheetName val="input"/>
      <sheetName val="e1"/>
      <sheetName val="e1.2"/>
      <sheetName val="e2"/>
      <sheetName val="e3.1"/>
      <sheetName val="e3.2"/>
      <sheetName val="e3.3"/>
      <sheetName val="e3.4"/>
      <sheetName val="e3.5"/>
      <sheetName val="e3.6"/>
      <sheetName val="e4"/>
      <sheetName val="e5.1"/>
      <sheetName val="e5.2"/>
      <sheetName val="e5.3"/>
      <sheetName val="e6"/>
      <sheetName val="e7"/>
      <sheetName val="e9"/>
      <sheetName val="TREND"/>
      <sheetName val="graph_bkup"/>
      <sheetName val="Module1"/>
      <sheetName val="Module2"/>
    </sheetNames>
    <definedNames>
      <definedName name="Print" refersTo="='Print Macro'!$B$2:$B$23"/>
    </definedNames>
    <sheetDataSet>
      <sheetData sheetId="0">
        <row r="2">
          <cell r="B2" t="str">
            <v>N</v>
          </cell>
        </row>
        <row r="3">
          <cell r="B3" t="str">
            <v>N</v>
          </cell>
        </row>
        <row r="4">
          <cell r="B4" t="str">
            <v>P</v>
          </cell>
        </row>
        <row r="5">
          <cell r="B5" t="str">
            <v>P</v>
          </cell>
        </row>
        <row r="6">
          <cell r="B6" t="str">
            <v>P</v>
          </cell>
        </row>
        <row r="7">
          <cell r="B7" t="str">
            <v>P</v>
          </cell>
        </row>
        <row r="8">
          <cell r="B8" t="str">
            <v>P</v>
          </cell>
        </row>
        <row r="9">
          <cell r="B9" t="str">
            <v>P</v>
          </cell>
        </row>
        <row r="10">
          <cell r="B10" t="str">
            <v>P</v>
          </cell>
        </row>
        <row r="11">
          <cell r="B11" t="str">
            <v>P</v>
          </cell>
        </row>
        <row r="12">
          <cell r="B12" t="str">
            <v>P</v>
          </cell>
        </row>
        <row r="13">
          <cell r="B13" t="str">
            <v>P</v>
          </cell>
        </row>
        <row r="14">
          <cell r="B14" t="str">
            <v>P</v>
          </cell>
        </row>
        <row r="15">
          <cell r="B15" t="str">
            <v>P</v>
          </cell>
        </row>
        <row r="16">
          <cell r="B16" t="str">
            <v>P</v>
          </cell>
        </row>
        <row r="17">
          <cell r="B17" t="str">
            <v>P</v>
          </cell>
        </row>
        <row r="18">
          <cell r="B18" t="str">
            <v>P</v>
          </cell>
        </row>
        <row r="19">
          <cell r="B19" t="str">
            <v>P</v>
          </cell>
        </row>
        <row r="20">
          <cell r="B20" t="str">
            <v>N</v>
          </cell>
        </row>
        <row r="21">
          <cell r="B21" t="str">
            <v>N</v>
          </cell>
        </row>
        <row r="22">
          <cell r="B22" t="str">
            <v>N</v>
          </cell>
        </row>
        <row r="23">
          <cell r="B23" t="str">
            <v>N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31"/>
  <sheetViews>
    <sheetView tabSelected="1" topLeftCell="B1" workbookViewId="0">
      <selection activeCell="C2" sqref="C2"/>
    </sheetView>
  </sheetViews>
  <sheetFormatPr defaultRowHeight="15" x14ac:dyDescent="0.25"/>
  <cols>
    <col min="2" max="2" width="11.7109375" bestFit="1" customWidth="1"/>
    <col min="3" max="3" width="23.85546875" bestFit="1" customWidth="1"/>
    <col min="9" max="9" width="9.7109375" bestFit="1" customWidth="1"/>
    <col min="10" max="10" width="33.140625" bestFit="1" customWidth="1"/>
    <col min="11" max="11" width="41.85546875" bestFit="1" customWidth="1"/>
    <col min="12" max="12" width="65.140625" bestFit="1" customWidth="1"/>
    <col min="13" max="13" width="34.5703125" bestFit="1" customWidth="1"/>
    <col min="14" max="14" width="29" bestFit="1" customWidth="1"/>
    <col min="15" max="15" width="41.85546875" bestFit="1" customWidth="1"/>
  </cols>
  <sheetData>
    <row r="1" spans="2:14" x14ac:dyDescent="0.25">
      <c r="B1" s="1" t="s">
        <v>0</v>
      </c>
      <c r="C1" s="2"/>
      <c r="H1" t="s">
        <v>4</v>
      </c>
      <c r="I1" s="4">
        <v>42794</v>
      </c>
    </row>
    <row r="2" spans="2:14" x14ac:dyDescent="0.25">
      <c r="B2" s="1" t="s">
        <v>1</v>
      </c>
      <c r="C2" s="2"/>
    </row>
    <row r="3" spans="2:14" x14ac:dyDescent="0.25">
      <c r="H3" t="s">
        <v>6</v>
      </c>
      <c r="I3" t="str">
        <f>"\"&amp;YEAR($I$1)&amp;" "&amp;$H3&amp;"\"</f>
        <v>\2017 AO\</v>
      </c>
      <c r="K3" t="str">
        <f>I3&amp;TEXT($I$1, "mmyyyy")&amp;"_"&amp;$H3&amp;"_Ind_Exhs"</f>
        <v>\2017 AO\022017_AO_Ind_Exhs</v>
      </c>
      <c r="L3" s="5" t="str">
        <f>$C$4&amp;K3</f>
        <v>H:\ATLRFI\FEDEX\Wc2017\2017 AO\022017_AO_Ind_Exhs</v>
      </c>
      <c r="M3" t="e">
        <f ca="1">INDIRECT(MATCH("P", "'"&amp;L3&amp;"'!Print", 0))</f>
        <v>#VALUE!</v>
      </c>
      <c r="N3" t="e">
        <f ca="1">M3-1+COUNTIFS(INDIRECT("'"&amp;L3&amp;"'!Print"), "P")</f>
        <v>#VALUE!</v>
      </c>
    </row>
    <row r="4" spans="2:14" x14ac:dyDescent="0.25">
      <c r="B4" s="1" t="s">
        <v>2</v>
      </c>
      <c r="C4" s="3" t="s">
        <v>5</v>
      </c>
      <c r="H4" t="s">
        <v>7</v>
      </c>
      <c r="I4" t="str">
        <f>"\"&amp;YEAR($I$1)&amp;" "&amp;$H4&amp;"\"</f>
        <v>\2017 CA\</v>
      </c>
      <c r="K4" t="str">
        <f>I4&amp;TEXT($I$1, "mmyyyy")&amp;"_"&amp;$H4&amp;"_Ind_Exhs"</f>
        <v>\2017 CA\022017_CA_Ind_Exhs</v>
      </c>
      <c r="L4" s="5" t="str">
        <f t="shared" ref="L4:L31" si="0">$C$4&amp;K4</f>
        <v>H:\ATLRFI\FEDEX\Wc2017\2017 CA\022017_CA_Ind_Exhs</v>
      </c>
      <c r="M4">
        <f>MATCH("P", [1]!Print, 0)</f>
        <v>3</v>
      </c>
    </row>
    <row r="5" spans="2:14" x14ac:dyDescent="0.25">
      <c r="B5" s="1" t="s">
        <v>3</v>
      </c>
      <c r="C5" s="3" t="s">
        <v>5</v>
      </c>
      <c r="H5" t="s">
        <v>8</v>
      </c>
      <c r="I5" t="str">
        <f>"\"&amp;YEAR($I$1)&amp;" "&amp;$H5&amp;"\"</f>
        <v>\2017 FL\</v>
      </c>
      <c r="K5" t="str">
        <f>I5&amp;TEXT($I$1, "mmyyyy")&amp;"_"&amp;$H5&amp;"_Ind_Exhs"</f>
        <v>\2017 FL\022017_FL_Ind_Exhs</v>
      </c>
      <c r="L5" s="5" t="str">
        <f t="shared" si="0"/>
        <v>H:\ATLRFI\FEDEX\Wc2017\2017 FL\022017_FL_Ind_Exhs</v>
      </c>
      <c r="M5" t="str">
        <f>"'"&amp;L3&amp;"'!Print"</f>
        <v>'H:\ATLRFI\FEDEX\Wc2017\2017 AO\022017_AO_Ind_Exhs'!Print</v>
      </c>
    </row>
    <row r="6" spans="2:14" x14ac:dyDescent="0.25">
      <c r="H6" t="s">
        <v>9</v>
      </c>
      <c r="I6" t="str">
        <f>"\"&amp;YEAR($I$1)&amp;" "&amp;$H6&amp;"\"</f>
        <v>\2017 NJ\</v>
      </c>
      <c r="K6" t="str">
        <f>I6&amp;TEXT($I$1, "mmyyyy")&amp;"_"&amp;$H6&amp;"_Ind_Exhs"</f>
        <v>\2017 NJ\022017_NJ_Ind_Exhs</v>
      </c>
      <c r="L6" s="5" t="str">
        <f t="shared" si="0"/>
        <v>H:\ATLRFI\FEDEX\Wc2017\2017 NJ\022017_NJ_Ind_Exhs</v>
      </c>
    </row>
    <row r="7" spans="2:14" x14ac:dyDescent="0.25">
      <c r="H7" t="s">
        <v>10</v>
      </c>
      <c r="I7" t="str">
        <f>"\"&amp;YEAR($I$1)&amp;" "&amp;$H7&amp;"\"</f>
        <v>\2017 TN\</v>
      </c>
      <c r="K7" t="str">
        <f>I7&amp;TEXT($I$1, "mmyyyy")&amp;"_"&amp;$H7&amp;"_Ind_Exhs"</f>
        <v>\2017 TN\022017_TN_Ind_Exhs</v>
      </c>
      <c r="L7" s="5" t="str">
        <f t="shared" si="0"/>
        <v>H:\ATLRFI\FEDEX\Wc2017\2017 TN\022017_TN_Ind_Exhs</v>
      </c>
    </row>
    <row r="8" spans="2:14" x14ac:dyDescent="0.25">
      <c r="K8" t="str">
        <f>SUBSTITUTE(K3,"Ind","Med")</f>
        <v>\2017 AO\022017_AO_Med_Exhs</v>
      </c>
      <c r="L8" s="5" t="str">
        <f t="shared" si="0"/>
        <v>H:\ATLRFI\FEDEX\Wc2017\2017 AO\022017_AO_Med_Exhs</v>
      </c>
    </row>
    <row r="9" spans="2:14" x14ac:dyDescent="0.25">
      <c r="K9" t="str">
        <f>SUBSTITUTE(K4,"Ind","Med")</f>
        <v>\2017 CA\022017_CA_Med_Exhs</v>
      </c>
      <c r="L9" s="5" t="str">
        <f t="shared" si="0"/>
        <v>H:\ATLRFI\FEDEX\Wc2017\2017 CA\022017_CA_Med_Exhs</v>
      </c>
    </row>
    <row r="10" spans="2:14" x14ac:dyDescent="0.25">
      <c r="K10" t="str">
        <f>SUBSTITUTE(K5,"Ind","Med")</f>
        <v>\2017 FL\022017_FL_Med_Exhs</v>
      </c>
      <c r="L10" s="5" t="str">
        <f t="shared" si="0"/>
        <v>H:\ATLRFI\FEDEX\Wc2017\2017 FL\022017_FL_Med_Exhs</v>
      </c>
    </row>
    <row r="11" spans="2:14" x14ac:dyDescent="0.25">
      <c r="K11" t="str">
        <f>SUBSTITUTE(K6,"Ind","Med")</f>
        <v>\2017 NJ\022017_NJ_Med_Exhs</v>
      </c>
      <c r="L11" s="5" t="str">
        <f t="shared" si="0"/>
        <v>H:\ATLRFI\FEDEX\Wc2017\2017 NJ\022017_NJ_Med_Exhs</v>
      </c>
    </row>
    <row r="12" spans="2:14" x14ac:dyDescent="0.25">
      <c r="K12" t="str">
        <f>SUBSTITUTE(K7,"Ind","Med")</f>
        <v>\2017 TN\022017_TN_Med_Exhs</v>
      </c>
      <c r="L12" s="5" t="str">
        <f t="shared" si="0"/>
        <v>H:\ATLRFI\FEDEX\Wc2017\2017 TN\022017_TN_Med_Exhs</v>
      </c>
    </row>
    <row r="13" spans="2:14" x14ac:dyDescent="0.25">
      <c r="K13" t="str">
        <f>SUBSTITUTE(K3, "Exhs", "Trngls")</f>
        <v>\2017 AO\022017_AO_Ind_Trngls</v>
      </c>
      <c r="L13" s="5" t="str">
        <f t="shared" si="0"/>
        <v>H:\ATLRFI\FEDEX\Wc2017\2017 AO\022017_AO_Ind_Trngls</v>
      </c>
    </row>
    <row r="14" spans="2:14" x14ac:dyDescent="0.25">
      <c r="K14" t="str">
        <f>SUBSTITUTE(K4, "Exhs", "Trngls")</f>
        <v>\2017 CA\022017_CA_Ind_Trngls</v>
      </c>
      <c r="L14" s="5" t="str">
        <f t="shared" si="0"/>
        <v>H:\ATLRFI\FEDEX\Wc2017\2017 CA\022017_CA_Ind_Trngls</v>
      </c>
    </row>
    <row r="15" spans="2:14" x14ac:dyDescent="0.25">
      <c r="K15" t="str">
        <f>SUBSTITUTE(K5, "Exhs", "Trngls")</f>
        <v>\2017 FL\022017_FL_Ind_Trngls</v>
      </c>
      <c r="L15" s="5" t="str">
        <f t="shared" si="0"/>
        <v>H:\ATLRFI\FEDEX\Wc2017\2017 FL\022017_FL_Ind_Trngls</v>
      </c>
    </row>
    <row r="16" spans="2:14" x14ac:dyDescent="0.25">
      <c r="K16" t="str">
        <f>SUBSTITUTE(K6, "Exhs", "Trngls")</f>
        <v>\2017 NJ\022017_NJ_Ind_Trngls</v>
      </c>
      <c r="L16" s="5" t="str">
        <f t="shared" si="0"/>
        <v>H:\ATLRFI\FEDEX\Wc2017\2017 NJ\022017_NJ_Ind_Trngls</v>
      </c>
    </row>
    <row r="17" spans="11:12" x14ac:dyDescent="0.25">
      <c r="K17" t="str">
        <f>SUBSTITUTE(K7, "Exhs", "Trngls")</f>
        <v>\2017 TN\022017_TN_Ind_Trngls</v>
      </c>
      <c r="L17" s="5" t="str">
        <f t="shared" si="0"/>
        <v>H:\ATLRFI\FEDEX\Wc2017\2017 TN\022017_TN_Ind_Trngls</v>
      </c>
    </row>
    <row r="18" spans="11:12" x14ac:dyDescent="0.25">
      <c r="K18" t="str">
        <f>SUBSTITUTE(K8, "Exhs", "Trngls")</f>
        <v>\2017 AO\022017_AO_Med_Trngls</v>
      </c>
      <c r="L18" s="5" t="str">
        <f t="shared" si="0"/>
        <v>H:\ATLRFI\FEDEX\Wc2017\2017 AO\022017_AO_Med_Trngls</v>
      </c>
    </row>
    <row r="19" spans="11:12" x14ac:dyDescent="0.25">
      <c r="K19" t="str">
        <f>SUBSTITUTE(K9, "Exhs", "Trngls")</f>
        <v>\2017 CA\022017_CA_Med_Trngls</v>
      </c>
      <c r="L19" s="5" t="str">
        <f t="shared" si="0"/>
        <v>H:\ATLRFI\FEDEX\Wc2017\2017 CA\022017_CA_Med_Trngls</v>
      </c>
    </row>
    <row r="20" spans="11:12" x14ac:dyDescent="0.25">
      <c r="K20" t="str">
        <f>SUBSTITUTE(K10, "Exhs", "Trngls")</f>
        <v>\2017 FL\022017_FL_Med_Trngls</v>
      </c>
      <c r="L20" s="5" t="str">
        <f t="shared" si="0"/>
        <v>H:\ATLRFI\FEDEX\Wc2017\2017 FL\022017_FL_Med_Trngls</v>
      </c>
    </row>
    <row r="21" spans="11:12" x14ac:dyDescent="0.25">
      <c r="K21" t="str">
        <f>SUBSTITUTE(K11, "Exhs", "Trngls")</f>
        <v>\2017 NJ\022017_NJ_Med_Trngls</v>
      </c>
      <c r="L21" s="5" t="str">
        <f t="shared" si="0"/>
        <v>H:\ATLRFI\FEDEX\Wc2017\2017 NJ\022017_NJ_Med_Trngls</v>
      </c>
    </row>
    <row r="22" spans="11:12" x14ac:dyDescent="0.25">
      <c r="K22" t="str">
        <f>SUBSTITUTE(K12, "Exhs", "Trngls")</f>
        <v>\2017 TN\022017_TN_Med_Trngls</v>
      </c>
      <c r="L22" s="5" t="str">
        <f t="shared" si="0"/>
        <v>H:\ATLRFI\FEDEX\Wc2017\2017 TN\022017_TN_Med_Trngls</v>
      </c>
    </row>
    <row r="23" spans="11:12" x14ac:dyDescent="0.25">
      <c r="K23" t="str">
        <f>SUBSTITUTE(K18, "Med_Trngls", "Sum")</f>
        <v>\2017 AO\022017_AO_Sum</v>
      </c>
      <c r="L23" s="5" t="str">
        <f t="shared" si="0"/>
        <v>H:\ATLRFI\FEDEX\Wc2017\2017 AO\022017_AO_Sum</v>
      </c>
    </row>
    <row r="24" spans="11:12" x14ac:dyDescent="0.25">
      <c r="K24" t="str">
        <f>SUBSTITUTE(K19, "Med_Trngls", "Sum")</f>
        <v>\2017 CA\022017_CA_Sum</v>
      </c>
      <c r="L24" s="5" t="str">
        <f t="shared" si="0"/>
        <v>H:\ATLRFI\FEDEX\Wc2017\2017 CA\022017_CA_Sum</v>
      </c>
    </row>
    <row r="25" spans="11:12" x14ac:dyDescent="0.25">
      <c r="K25" t="str">
        <f>SUBSTITUTE(K20, "Med_Trngls", "Sum")</f>
        <v>\2017 FL\022017_FL_Sum</v>
      </c>
      <c r="L25" s="5" t="str">
        <f t="shared" si="0"/>
        <v>H:\ATLRFI\FEDEX\Wc2017\2017 FL\022017_FL_Sum</v>
      </c>
    </row>
    <row r="26" spans="11:12" x14ac:dyDescent="0.25">
      <c r="K26" t="str">
        <f>SUBSTITUTE(K21, "Med_Trngls", "Sum")</f>
        <v>\2017 NJ\022017_NJ_Sum</v>
      </c>
      <c r="L26" s="5" t="str">
        <f t="shared" si="0"/>
        <v>H:\ATLRFI\FEDEX\Wc2017\2017 NJ\022017_NJ_Sum</v>
      </c>
    </row>
    <row r="27" spans="11:12" x14ac:dyDescent="0.25">
      <c r="K27" t="str">
        <f>SUBSTITUTE(K22, "Med_Trngls", "Sum")</f>
        <v>\2017 TN\022017_TN_Sum</v>
      </c>
      <c r="L27" s="5" t="str">
        <f t="shared" si="0"/>
        <v>H:\ATLRFI\FEDEX\Wc2017\2017 TN\022017_TN_Sum</v>
      </c>
    </row>
    <row r="28" spans="11:12" x14ac:dyDescent="0.25">
      <c r="K28" t="str">
        <f>"\"&amp;TEXT($I$1, "mm dd yyyy")&amp;"_ALL_STATES_SUMMARY"</f>
        <v>\02 28 2017_ALL_STATES_SUMMARY</v>
      </c>
      <c r="L28" s="5" t="str">
        <f t="shared" si="0"/>
        <v>H:\ATLRFI\FEDEX\Wc2017\02 28 2017_ALL_STATES_SUMMARY</v>
      </c>
    </row>
    <row r="29" spans="11:12" x14ac:dyDescent="0.25">
      <c r="K29" t="str">
        <f>SUBSTITUTE($K$28, "SUMMARY", "SUMMARY-High")</f>
        <v>\02 28 2017_ALL_STATES_SUMMARY-High</v>
      </c>
      <c r="L29" s="5" t="str">
        <f t="shared" si="0"/>
        <v>H:\ATLRFI\FEDEX\Wc2017\02 28 2017_ALL_STATES_SUMMARY-High</v>
      </c>
    </row>
    <row r="30" spans="11:12" x14ac:dyDescent="0.25">
      <c r="K30" t="str">
        <f>SUBSTITUTE($K$28, "SUMMARY", "SUMMARY-Low")</f>
        <v>\02 28 2017_ALL_STATES_SUMMARY-Low</v>
      </c>
      <c r="L30" s="5" t="str">
        <f t="shared" si="0"/>
        <v>H:\ATLRFI\FEDEX\Wc2017\02 28 2017_ALL_STATES_SUMMARY-Low</v>
      </c>
    </row>
    <row r="31" spans="11:12" x14ac:dyDescent="0.25">
      <c r="K31" t="str">
        <f>"\actual vs expected "&amp;TEXT($I$1, "mm dd yyyy")</f>
        <v>\actual vs expected 02 28 2017</v>
      </c>
      <c r="L31" s="5" t="str">
        <f t="shared" si="0"/>
        <v>H:\ATLRFI\FEDEX\Wc2017\actual vs expected 02 28 2017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files</vt:lpstr>
    </vt:vector>
  </TitlesOfParts>
  <Company>Oliver Wyman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Briggs, Jimmy</dc:creator>
  <cp:lastModifiedBy>Briggs, Jimmy</cp:lastModifiedBy>
  <dcterms:created xsi:type="dcterms:W3CDTF">2017-05-10T15:34:46Z</dcterms:created>
  <dcterms:modified xsi:type="dcterms:W3CDTF">2017-05-10T20:27:33Z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MSOLanguageID">
    <vt:lpwstr>msoLanguageIDEnglishUK</vt:lpwstr>
  </property>
  <property fmtid="{D5CDD505-2E9C-101B-9397-08002B2CF9AE}" pid="3" name="{A44787D4-0540-4523-9961-78E4036D8C6D}">
    <vt:lpwstr>{869CAD04-0922-41EE-8E6C-798076CBDA1B}</vt:lpwstr>
  </property>
</Properties>
</file>