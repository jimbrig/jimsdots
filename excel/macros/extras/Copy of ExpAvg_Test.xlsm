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5760" yWindow="225" windowWidth="5805" windowHeight="6345" tabRatio="851"/>
  </bookViews>
  <sheets>
    <sheet name="ExpAvg_Comments" sheetId="31" r:id="rId1"/>
  </sheets>
  <functionGroups builtInGroupCount="17"/>
  <externalReferences>
    <externalReference r:id="rId2"/>
    <externalReference r:id="rId3"/>
  </externalReference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MacroRecalculationBehavior" hidden="1">0</definedName>
    <definedName name="_AtRisk_SimSetting_RandomNumberGenerator" hidden="1">0</definedName>
    <definedName name="_AtRisk_SimSetting_ReportsList" hidden="1">13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FALSE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1</definedName>
    <definedName name="_AtRisk_SimSetting_StdRecalcWithoutRiskStatic" hidden="1">0</definedName>
    <definedName name="_AtRisk_SimSetting_StdRecalcWithoutRiskStaticPercentile" hidden="1">0.5</definedName>
    <definedName name="Pal_Workbook_GUID" hidden="1">"FH7NM9H4RIVII7BEWUUH6NU5"</definedName>
    <definedName name="_xlnm.Print_Area" localSheetId="0">ExpAvg_Comments!$P$2:$Z$44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0</definedName>
    <definedName name="RiskFixedSeed" hidden="1">1</definedName>
    <definedName name="RiskHasSettings" hidden="1">6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2</definedName>
    <definedName name="RiskStandardRecalc" hidden="1">2</definedName>
    <definedName name="RiskUpdateDisplay" hidden="1">FALSE</definedName>
    <definedName name="RiskUseDifferentSeedForEachSim" hidden="1">FALSE</definedName>
    <definedName name="RiskUseFixedSeed" hidden="1">TRUE</definedName>
    <definedName name="RiskUseMultipleCPUs" hidden="1">FALSE</definedName>
    <definedName name="utilo.version" hidden="1">3</definedName>
  </definedNames>
  <calcPr calcId="145621"/>
</workbook>
</file>

<file path=xl/calcChain.xml><?xml version="1.0" encoding="utf-8"?>
<calcChain xmlns="http://schemas.openxmlformats.org/spreadsheetml/2006/main">
  <c r="E1048" i="31" l="1"/>
  <c r="E1044" i="31"/>
  <c r="E1040" i="31"/>
  <c r="E1036" i="31"/>
  <c r="E1032" i="31"/>
  <c r="E1028" i="31"/>
  <c r="E1024" i="31"/>
  <c r="E1020" i="31"/>
  <c r="E1016" i="31"/>
  <c r="E1012" i="31"/>
  <c r="E1008" i="31"/>
  <c r="E1004" i="31"/>
  <c r="E1000" i="31"/>
  <c r="E996" i="31"/>
  <c r="E992" i="31"/>
  <c r="E988" i="31"/>
  <c r="E984" i="31"/>
  <c r="E980" i="31"/>
  <c r="E976" i="31"/>
  <c r="E972" i="31"/>
  <c r="E968" i="31"/>
  <c r="E964" i="31"/>
  <c r="E960" i="31"/>
  <c r="E956" i="31"/>
  <c r="E952" i="31"/>
  <c r="E948" i="31"/>
  <c r="E944" i="31"/>
  <c r="E940" i="31"/>
  <c r="E936" i="31"/>
  <c r="E932" i="31"/>
  <c r="E928" i="31"/>
  <c r="E924" i="31"/>
  <c r="E920" i="31"/>
  <c r="E916" i="31"/>
  <c r="E912" i="31"/>
  <c r="E908" i="31"/>
  <c r="E904" i="31"/>
  <c r="E900" i="31"/>
  <c r="E896" i="31"/>
  <c r="E892" i="31"/>
  <c r="E888" i="31"/>
  <c r="E884" i="31"/>
  <c r="E880" i="31"/>
  <c r="E876" i="31"/>
  <c r="E872" i="31"/>
  <c r="E868" i="31"/>
  <c r="E864" i="31"/>
  <c r="E860" i="31"/>
  <c r="E856" i="31"/>
  <c r="E852" i="31"/>
  <c r="E848" i="31"/>
  <c r="E844" i="31"/>
  <c r="E840" i="31"/>
  <c r="E836" i="31"/>
  <c r="E832" i="31"/>
  <c r="E828" i="31"/>
  <c r="E824" i="31"/>
  <c r="E820" i="31"/>
  <c r="E816" i="31"/>
  <c r="E812" i="31"/>
  <c r="E808" i="31"/>
  <c r="E804" i="31"/>
  <c r="E800" i="31"/>
  <c r="E796" i="31"/>
  <c r="E792" i="31"/>
  <c r="E788" i="31"/>
  <c r="E784" i="31"/>
  <c r="E780" i="31"/>
  <c r="E776" i="31"/>
  <c r="E772" i="31"/>
  <c r="E768" i="31"/>
  <c r="E764" i="31"/>
  <c r="E760" i="31"/>
  <c r="E756" i="31"/>
  <c r="E752" i="31"/>
  <c r="E748" i="31"/>
  <c r="E744" i="31"/>
  <c r="E740" i="31"/>
  <c r="E736" i="31"/>
  <c r="E732" i="31"/>
  <c r="E728" i="31"/>
  <c r="E724" i="31"/>
  <c r="E720" i="31"/>
  <c r="E716" i="31"/>
  <c r="E712" i="31"/>
  <c r="E708" i="31"/>
  <c r="E704" i="31"/>
  <c r="E700" i="31"/>
  <c r="E696" i="31"/>
  <c r="E692" i="31"/>
  <c r="E688" i="31"/>
  <c r="E684" i="31"/>
  <c r="E680" i="31"/>
  <c r="E676" i="31"/>
  <c r="E672" i="31"/>
  <c r="E668" i="31"/>
  <c r="E664" i="31"/>
  <c r="E660" i="31"/>
  <c r="E656" i="31"/>
  <c r="E652" i="31"/>
  <c r="E648" i="31"/>
  <c r="E644" i="31"/>
  <c r="E640" i="31"/>
  <c r="E636" i="31"/>
  <c r="E632" i="31"/>
  <c r="E628" i="31"/>
  <c r="E624" i="31"/>
  <c r="E620" i="31"/>
  <c r="E616" i="31"/>
  <c r="E612" i="31"/>
  <c r="E608" i="31"/>
  <c r="E604" i="31"/>
  <c r="E600" i="31"/>
  <c r="E596" i="31"/>
  <c r="E592" i="31"/>
  <c r="E588" i="31"/>
  <c r="E584" i="31"/>
  <c r="E580" i="31"/>
  <c r="E576" i="31"/>
  <c r="E572" i="31"/>
  <c r="E568" i="31"/>
  <c r="E564" i="31"/>
  <c r="E560" i="31"/>
  <c r="E556" i="31"/>
  <c r="E552" i="31"/>
  <c r="E548" i="31"/>
  <c r="E544" i="31"/>
  <c r="E1046" i="31"/>
  <c r="E1042" i="31"/>
  <c r="E1038" i="31"/>
  <c r="E1034" i="31"/>
  <c r="E1030" i="31"/>
  <c r="E1026" i="31"/>
  <c r="E1022" i="31"/>
  <c r="E1018" i="31"/>
  <c r="E1014" i="31"/>
  <c r="E1010" i="31"/>
  <c r="E1006" i="31"/>
  <c r="E1002" i="31"/>
  <c r="E998" i="31"/>
  <c r="E994" i="31"/>
  <c r="E990" i="31"/>
  <c r="E986" i="31"/>
  <c r="E982" i="31"/>
  <c r="E978" i="31"/>
  <c r="E974" i="31"/>
  <c r="E970" i="31"/>
  <c r="E966" i="31"/>
  <c r="E962" i="31"/>
  <c r="E958" i="31"/>
  <c r="E954" i="31"/>
  <c r="E950" i="31"/>
  <c r="E946" i="31"/>
  <c r="E942" i="31"/>
  <c r="E938" i="31"/>
  <c r="E934" i="31"/>
  <c r="E930" i="31"/>
  <c r="E926" i="31"/>
  <c r="E922" i="31"/>
  <c r="E918" i="31"/>
  <c r="E914" i="31"/>
  <c r="E910" i="31"/>
  <c r="E906" i="31"/>
  <c r="E902" i="31"/>
  <c r="E898" i="31"/>
  <c r="E894" i="31"/>
  <c r="E890" i="31"/>
  <c r="E886" i="31"/>
  <c r="E882" i="31"/>
  <c r="E878" i="31"/>
  <c r="E874" i="31"/>
  <c r="E870" i="31"/>
  <c r="E866" i="31"/>
  <c r="E862" i="31"/>
  <c r="E858" i="31"/>
  <c r="E854" i="31"/>
  <c r="E850" i="31"/>
  <c r="E846" i="31"/>
  <c r="E842" i="31"/>
  <c r="E838" i="31"/>
  <c r="E834" i="31"/>
  <c r="E830" i="31"/>
  <c r="E826" i="31"/>
  <c r="E822" i="31"/>
  <c r="E818" i="31"/>
  <c r="E814" i="31"/>
  <c r="E810" i="31"/>
  <c r="E806" i="31"/>
  <c r="E802" i="31"/>
  <c r="E798" i="31"/>
  <c r="E794" i="31"/>
  <c r="E790" i="31"/>
  <c r="E786" i="31"/>
  <c r="E782" i="31"/>
  <c r="E778" i="31"/>
  <c r="E774" i="31"/>
  <c r="E770" i="31"/>
  <c r="E766" i="31"/>
  <c r="E762" i="31"/>
  <c r="E758" i="31"/>
  <c r="E754" i="31"/>
  <c r="E750" i="31"/>
  <c r="E746" i="31"/>
  <c r="E742" i="31"/>
  <c r="E738" i="31"/>
  <c r="E734" i="31"/>
  <c r="E730" i="31"/>
  <c r="E726" i="31"/>
  <c r="E722" i="31"/>
  <c r="E718" i="31"/>
  <c r="E714" i="31"/>
  <c r="E710" i="31"/>
  <c r="E706" i="31"/>
  <c r="E702" i="31"/>
  <c r="E698" i="31"/>
  <c r="E694" i="31"/>
  <c r="E690" i="31"/>
  <c r="E686" i="31"/>
  <c r="E682" i="31"/>
  <c r="E678" i="31"/>
  <c r="E674" i="31"/>
  <c r="E670" i="31"/>
  <c r="E666" i="31"/>
  <c r="E662" i="31"/>
  <c r="E658" i="31"/>
  <c r="E654" i="31"/>
  <c r="E650" i="31"/>
  <c r="E646" i="31"/>
  <c r="E642" i="31"/>
  <c r="E638" i="31"/>
  <c r="E634" i="31"/>
  <c r="E630" i="31"/>
  <c r="E626" i="31"/>
  <c r="E622" i="31"/>
  <c r="E618" i="31"/>
  <c r="E614" i="31"/>
  <c r="E610" i="31"/>
  <c r="E606" i="31"/>
  <c r="E602" i="31"/>
  <c r="E598" i="31"/>
  <c r="E594" i="31"/>
  <c r="E590" i="31"/>
  <c r="E586" i="31"/>
  <c r="E582" i="31"/>
  <c r="E578" i="31"/>
  <c r="E574" i="31"/>
  <c r="E570" i="31"/>
  <c r="E566" i="31"/>
  <c r="E562" i="31"/>
  <c r="E558" i="31"/>
  <c r="E554" i="31"/>
  <c r="E550" i="31"/>
  <c r="E546" i="31"/>
  <c r="E542" i="31"/>
  <c r="E1047" i="31"/>
  <c r="E1039" i="31"/>
  <c r="E1031" i="31"/>
  <c r="E1023" i="31"/>
  <c r="E1015" i="31"/>
  <c r="E1007" i="31"/>
  <c r="E999" i="31"/>
  <c r="E991" i="31"/>
  <c r="E983" i="31"/>
  <c r="E975" i="31"/>
  <c r="E967" i="31"/>
  <c r="E959" i="31"/>
  <c r="E951" i="31"/>
  <c r="E943" i="31"/>
  <c r="E935" i="31"/>
  <c r="E927" i="31"/>
  <c r="E919" i="31"/>
  <c r="E911" i="31"/>
  <c r="E903" i="31"/>
  <c r="E895" i="31"/>
  <c r="E887" i="31"/>
  <c r="E879" i="31"/>
  <c r="E871" i="31"/>
  <c r="E863" i="31"/>
  <c r="E855" i="31"/>
  <c r="E847" i="31"/>
  <c r="E839" i="31"/>
  <c r="E831" i="31"/>
  <c r="E823" i="31"/>
  <c r="E815" i="31"/>
  <c r="E807" i="31"/>
  <c r="E799" i="31"/>
  <c r="E791" i="31"/>
  <c r="E783" i="31"/>
  <c r="E775" i="31"/>
  <c r="E767" i="31"/>
  <c r="E759" i="31"/>
  <c r="E751" i="31"/>
  <c r="E743" i="31"/>
  <c r="E735" i="31"/>
  <c r="E727" i="31"/>
  <c r="E719" i="31"/>
  <c r="E711" i="31"/>
  <c r="E703" i="31"/>
  <c r="E695" i="31"/>
  <c r="E687" i="31"/>
  <c r="E679" i="31"/>
  <c r="E671" i="31"/>
  <c r="E663" i="31"/>
  <c r="E655" i="31"/>
  <c r="E647" i="31"/>
  <c r="E639" i="31"/>
  <c r="E631" i="31"/>
  <c r="E623" i="31"/>
  <c r="E615" i="31"/>
  <c r="E607" i="31"/>
  <c r="E599" i="31"/>
  <c r="E591" i="31"/>
  <c r="E583" i="31"/>
  <c r="E575" i="31"/>
  <c r="E567" i="31"/>
  <c r="E559" i="31"/>
  <c r="E551" i="31"/>
  <c r="E543" i="31"/>
  <c r="E538" i="31"/>
  <c r="E534" i="31"/>
  <c r="E530" i="31"/>
  <c r="E526" i="31"/>
  <c r="E522" i="31"/>
  <c r="E518" i="31"/>
  <c r="E514" i="31"/>
  <c r="E510" i="31"/>
  <c r="E506" i="31"/>
  <c r="E502" i="31"/>
  <c r="E498" i="31"/>
  <c r="E494" i="31"/>
  <c r="E490" i="31"/>
  <c r="E486" i="31"/>
  <c r="E482" i="31"/>
  <c r="E478" i="31"/>
  <c r="E474" i="31"/>
  <c r="E470" i="31"/>
  <c r="E466" i="31"/>
  <c r="E462" i="31"/>
  <c r="E458" i="31"/>
  <c r="E454" i="31"/>
  <c r="E450" i="31"/>
  <c r="E446" i="31"/>
  <c r="E442" i="31"/>
  <c r="E438" i="31"/>
  <c r="E434" i="31"/>
  <c r="E430" i="31"/>
  <c r="E426" i="31"/>
  <c r="E422" i="31"/>
  <c r="E418" i="31"/>
  <c r="E414" i="31"/>
  <c r="E410" i="31"/>
  <c r="E406" i="31"/>
  <c r="E402" i="31"/>
  <c r="E398" i="31"/>
  <c r="E394" i="31"/>
  <c r="E390" i="31"/>
  <c r="E386" i="31"/>
  <c r="E382" i="31"/>
  <c r="E378" i="31"/>
  <c r="E374" i="31"/>
  <c r="E370" i="31"/>
  <c r="E366" i="31"/>
  <c r="E362" i="31"/>
  <c r="E358" i="31"/>
  <c r="E354" i="31"/>
  <c r="E350" i="31"/>
  <c r="E346" i="31"/>
  <c r="E342" i="31"/>
  <c r="E338" i="31"/>
  <c r="E334" i="31"/>
  <c r="E330" i="31"/>
  <c r="E326" i="31"/>
  <c r="E322" i="31"/>
  <c r="E318" i="31"/>
  <c r="E314" i="31"/>
  <c r="E310" i="31"/>
  <c r="E306" i="31"/>
  <c r="E302" i="31"/>
  <c r="E298" i="31"/>
  <c r="E294" i="31"/>
  <c r="E1045" i="31"/>
  <c r="E1037" i="31"/>
  <c r="E1029" i="31"/>
  <c r="E1021" i="31"/>
  <c r="E1013" i="31"/>
  <c r="E1005" i="31"/>
  <c r="E997" i="31"/>
  <c r="E989" i="31"/>
  <c r="E981" i="31"/>
  <c r="E973" i="31"/>
  <c r="E965" i="31"/>
  <c r="E957" i="31"/>
  <c r="E949" i="31"/>
  <c r="E941" i="31"/>
  <c r="E933" i="31"/>
  <c r="E925" i="31"/>
  <c r="E917" i="31"/>
  <c r="E909" i="31"/>
  <c r="E901" i="31"/>
  <c r="E893" i="31"/>
  <c r="E885" i="31"/>
  <c r="E877" i="31"/>
  <c r="E869" i="31"/>
  <c r="E861" i="31"/>
  <c r="E853" i="31"/>
  <c r="E845" i="31"/>
  <c r="E837" i="31"/>
  <c r="E829" i="31"/>
  <c r="E821" i="31"/>
  <c r="E813" i="31"/>
  <c r="E805" i="31"/>
  <c r="E797" i="31"/>
  <c r="E789" i="31"/>
  <c r="E781" i="31"/>
  <c r="E773" i="31"/>
  <c r="E765" i="31"/>
  <c r="E757" i="31"/>
  <c r="E749" i="31"/>
  <c r="E741" i="31"/>
  <c r="E733" i="31"/>
  <c r="E725" i="31"/>
  <c r="E717" i="31"/>
  <c r="E709" i="31"/>
  <c r="E701" i="31"/>
  <c r="E693" i="31"/>
  <c r="E685" i="31"/>
  <c r="E677" i="31"/>
  <c r="E669" i="31"/>
  <c r="E661" i="31"/>
  <c r="E653" i="31"/>
  <c r="E645" i="31"/>
  <c r="E637" i="31"/>
  <c r="E629" i="31"/>
  <c r="E621" i="31"/>
  <c r="E613" i="31"/>
  <c r="E605" i="31"/>
  <c r="E597" i="31"/>
  <c r="E589" i="31"/>
  <c r="E581" i="31"/>
  <c r="E573" i="31"/>
  <c r="E565" i="31"/>
  <c r="E557" i="31"/>
  <c r="E549" i="31"/>
  <c r="E541" i="31"/>
  <c r="E537" i="31"/>
  <c r="E533" i="31"/>
  <c r="E529" i="31"/>
  <c r="E525" i="31"/>
  <c r="E521" i="31"/>
  <c r="E517" i="31"/>
  <c r="E513" i="31"/>
  <c r="E509" i="31"/>
  <c r="E505" i="31"/>
  <c r="E501" i="31"/>
  <c r="E497" i="31"/>
  <c r="E493" i="31"/>
  <c r="E489" i="31"/>
  <c r="E485" i="31"/>
  <c r="E481" i="31"/>
  <c r="E477" i="31"/>
  <c r="E473" i="31"/>
  <c r="E469" i="31"/>
  <c r="E465" i="31"/>
  <c r="E461" i="31"/>
  <c r="E457" i="31"/>
  <c r="E453" i="31"/>
  <c r="E449" i="31"/>
  <c r="E445" i="31"/>
  <c r="E441" i="31"/>
  <c r="E437" i="31"/>
  <c r="E433" i="31"/>
  <c r="E429" i="31"/>
  <c r="E425" i="31"/>
  <c r="E421" i="31"/>
  <c r="E417" i="31"/>
  <c r="E413" i="31"/>
  <c r="E409" i="31"/>
  <c r="E405" i="31"/>
  <c r="E401" i="31"/>
  <c r="E397" i="31"/>
  <c r="E393" i="31"/>
  <c r="E389" i="31"/>
  <c r="E385" i="31"/>
  <c r="E381" i="31"/>
  <c r="E377" i="31"/>
  <c r="E373" i="31"/>
  <c r="E369" i="31"/>
  <c r="E365" i="31"/>
  <c r="E361" i="31"/>
  <c r="E357" i="31"/>
  <c r="E353" i="31"/>
  <c r="E349" i="31"/>
  <c r="E345" i="31"/>
  <c r="E341" i="31"/>
  <c r="E337" i="31"/>
  <c r="E333" i="31"/>
  <c r="E329" i="31"/>
  <c r="E325" i="31"/>
  <c r="E321" i="31"/>
  <c r="E317" i="31"/>
  <c r="E313" i="31"/>
  <c r="E309" i="31"/>
  <c r="E305" i="31"/>
  <c r="E301" i="31"/>
  <c r="E297" i="31"/>
  <c r="E293" i="31"/>
  <c r="E289" i="31"/>
  <c r="E1043" i="31"/>
  <c r="E1027" i="31"/>
  <c r="E1011" i="31"/>
  <c r="E995" i="31"/>
  <c r="E979" i="31"/>
  <c r="E963" i="31"/>
  <c r="E947" i="31"/>
  <c r="E931" i="31"/>
  <c r="E915" i="31"/>
  <c r="E899" i="31"/>
  <c r="E883" i="31"/>
  <c r="E867" i="31"/>
  <c r="E851" i="31"/>
  <c r="E835" i="31"/>
  <c r="E819" i="31"/>
  <c r="E803" i="31"/>
  <c r="E787" i="31"/>
  <c r="E771" i="31"/>
  <c r="E755" i="31"/>
  <c r="E739" i="31"/>
  <c r="E723" i="31"/>
  <c r="E707" i="31"/>
  <c r="E691" i="31"/>
  <c r="E675" i="31"/>
  <c r="E659" i="31"/>
  <c r="E643" i="31"/>
  <c r="E627" i="31"/>
  <c r="E611" i="31"/>
  <c r="E595" i="31"/>
  <c r="E579" i="31"/>
  <c r="E563" i="31"/>
  <c r="E547" i="31"/>
  <c r="E536" i="31"/>
  <c r="E528" i="31"/>
  <c r="E520" i="31"/>
  <c r="E512" i="31"/>
  <c r="E504" i="31"/>
  <c r="E496" i="31"/>
  <c r="E488" i="31"/>
  <c r="E480" i="31"/>
  <c r="E472" i="31"/>
  <c r="E464" i="31"/>
  <c r="E456" i="31"/>
  <c r="E448" i="31"/>
  <c r="E440" i="31"/>
  <c r="E432" i="31"/>
  <c r="E424" i="31"/>
  <c r="E416" i="31"/>
  <c r="E408" i="31"/>
  <c r="E400" i="31"/>
  <c r="E392" i="31"/>
  <c r="E384" i="31"/>
  <c r="E376" i="31"/>
  <c r="E368" i="31"/>
  <c r="E360" i="31"/>
  <c r="E352" i="31"/>
  <c r="E344" i="31"/>
  <c r="E336" i="31"/>
  <c r="E328" i="31"/>
  <c r="E320" i="31"/>
  <c r="E312" i="31"/>
  <c r="E304" i="31"/>
  <c r="E296" i="31"/>
  <c r="E290" i="31"/>
  <c r="E285" i="31"/>
  <c r="E281" i="31"/>
  <c r="E277" i="31"/>
  <c r="E273" i="31"/>
  <c r="E269" i="31"/>
  <c r="E265" i="31"/>
  <c r="E261" i="31"/>
  <c r="E257" i="31"/>
  <c r="E253" i="31"/>
  <c r="E249" i="31"/>
  <c r="E245" i="31"/>
  <c r="E241" i="31"/>
  <c r="E237" i="31"/>
  <c r="E233" i="31"/>
  <c r="E229" i="31"/>
  <c r="E225" i="31"/>
  <c r="E221" i="31"/>
  <c r="E217" i="31"/>
  <c r="E213" i="31"/>
  <c r="E209" i="31"/>
  <c r="E205" i="31"/>
  <c r="E201" i="31"/>
  <c r="E197" i="31"/>
  <c r="E193" i="31"/>
  <c r="E189" i="31"/>
  <c r="E185" i="31"/>
  <c r="E181" i="31"/>
  <c r="E177" i="31"/>
  <c r="E173" i="31"/>
  <c r="E169" i="31"/>
  <c r="E165" i="31"/>
  <c r="E161" i="31"/>
  <c r="E157" i="31"/>
  <c r="E153" i="31"/>
  <c r="E149" i="31"/>
  <c r="E145" i="31"/>
  <c r="E141" i="31"/>
  <c r="E137" i="31"/>
  <c r="E133" i="31"/>
  <c r="E129" i="31"/>
  <c r="E125" i="31"/>
  <c r="E121" i="31"/>
  <c r="E117" i="31"/>
  <c r="E113" i="31"/>
  <c r="E109" i="31"/>
  <c r="E105" i="31"/>
  <c r="E101" i="31"/>
  <c r="E1041" i="31"/>
  <c r="E1025" i="31"/>
  <c r="E1009" i="31"/>
  <c r="E993" i="31"/>
  <c r="E977" i="31"/>
  <c r="E961" i="31"/>
  <c r="E945" i="31"/>
  <c r="E929" i="31"/>
  <c r="E913" i="31"/>
  <c r="E897" i="31"/>
  <c r="E881" i="31"/>
  <c r="E865" i="31"/>
  <c r="E849" i="31"/>
  <c r="E833" i="31"/>
  <c r="E817" i="31"/>
  <c r="E801" i="31"/>
  <c r="E1035" i="31"/>
  <c r="E1019" i="31"/>
  <c r="E1003" i="31"/>
  <c r="E987" i="31"/>
  <c r="E971" i="31"/>
  <c r="E955" i="31"/>
  <c r="E939" i="31"/>
  <c r="E923" i="31"/>
  <c r="E907" i="31"/>
  <c r="E891" i="31"/>
  <c r="E875" i="31"/>
  <c r="E859" i="31"/>
  <c r="E843" i="31"/>
  <c r="E827" i="31"/>
  <c r="E811" i="31"/>
  <c r="E795" i="31"/>
  <c r="E779" i="31"/>
  <c r="E763" i="31"/>
  <c r="E747" i="31"/>
  <c r="E731" i="31"/>
  <c r="E715" i="31"/>
  <c r="E699" i="31"/>
  <c r="E683" i="31"/>
  <c r="E667" i="31"/>
  <c r="E651" i="31"/>
  <c r="E635" i="31"/>
  <c r="E619" i="31"/>
  <c r="E603" i="31"/>
  <c r="E587" i="31"/>
  <c r="E571" i="31"/>
  <c r="E555" i="31"/>
  <c r="E540" i="31"/>
  <c r="E532" i="31"/>
  <c r="E524" i="31"/>
  <c r="E516" i="31"/>
  <c r="E508" i="31"/>
  <c r="E500" i="31"/>
  <c r="E492" i="31"/>
  <c r="E484" i="31"/>
  <c r="E476" i="31"/>
  <c r="E468" i="31"/>
  <c r="E460" i="31"/>
  <c r="E452" i="31"/>
  <c r="E444" i="31"/>
  <c r="E436" i="31"/>
  <c r="E428" i="31"/>
  <c r="E420" i="31"/>
  <c r="E412" i="31"/>
  <c r="E404" i="31"/>
  <c r="E396" i="31"/>
  <c r="E388" i="31"/>
  <c r="E380" i="31"/>
  <c r="E372" i="31"/>
  <c r="E364" i="31"/>
  <c r="E356" i="31"/>
  <c r="E348" i="31"/>
  <c r="E340" i="31"/>
  <c r="E332" i="31"/>
  <c r="E324" i="31"/>
  <c r="E316" i="31"/>
  <c r="E308" i="31"/>
  <c r="E300" i="31"/>
  <c r="E292" i="31"/>
  <c r="E287" i="31"/>
  <c r="E283" i="31"/>
  <c r="E279" i="31"/>
  <c r="E275" i="31"/>
  <c r="E271" i="31"/>
  <c r="E267" i="31"/>
  <c r="E263" i="31"/>
  <c r="E259" i="31"/>
  <c r="E255" i="31"/>
  <c r="E251" i="31"/>
  <c r="E247" i="31"/>
  <c r="E243" i="31"/>
  <c r="E239" i="31"/>
  <c r="E235" i="31"/>
  <c r="E231" i="31"/>
  <c r="E227" i="31"/>
  <c r="E223" i="31"/>
  <c r="E219" i="31"/>
  <c r="E215" i="31"/>
  <c r="E211" i="31"/>
  <c r="E207" i="31"/>
  <c r="E203" i="31"/>
  <c r="E199" i="31"/>
  <c r="E195" i="31"/>
  <c r="E191" i="31"/>
  <c r="E187" i="31"/>
  <c r="E183" i="31"/>
  <c r="E179" i="31"/>
  <c r="E175" i="31"/>
  <c r="E171" i="31"/>
  <c r="E167" i="31"/>
  <c r="E163" i="31"/>
  <c r="E159" i="31"/>
  <c r="E155" i="31"/>
  <c r="E151" i="31"/>
  <c r="E147" i="31"/>
  <c r="E143" i="31"/>
  <c r="E139" i="31"/>
  <c r="E135" i="31"/>
  <c r="E131" i="31"/>
  <c r="E127" i="31"/>
  <c r="E123" i="31"/>
  <c r="E119" i="31"/>
  <c r="E115" i="31"/>
  <c r="E111" i="31"/>
  <c r="E107" i="31"/>
  <c r="E103" i="31"/>
  <c r="E99" i="31"/>
  <c r="E1033" i="31"/>
  <c r="E1017" i="31"/>
  <c r="E1001" i="31"/>
  <c r="E985" i="31"/>
  <c r="E969" i="31"/>
  <c r="E953" i="31"/>
  <c r="E937" i="31"/>
  <c r="E921" i="31"/>
  <c r="E905" i="31"/>
  <c r="E889" i="31"/>
  <c r="E873" i="31"/>
  <c r="E857" i="31"/>
  <c r="E841" i="31"/>
  <c r="E785" i="31"/>
  <c r="E753" i="31"/>
  <c r="E721" i="31"/>
  <c r="E689" i="31"/>
  <c r="E657" i="31"/>
  <c r="E625" i="31"/>
  <c r="E593" i="31"/>
  <c r="E561" i="31"/>
  <c r="E535" i="31"/>
  <c r="E519" i="31"/>
  <c r="E503" i="31"/>
  <c r="E487" i="31"/>
  <c r="E471" i="31"/>
  <c r="E455" i="31"/>
  <c r="E439" i="31"/>
  <c r="E423" i="31"/>
  <c r="E407" i="31"/>
  <c r="E391" i="31"/>
  <c r="E375" i="31"/>
  <c r="E359" i="31"/>
  <c r="E343" i="31"/>
  <c r="E327" i="31"/>
  <c r="E311" i="31"/>
  <c r="E295" i="31"/>
  <c r="E284" i="31"/>
  <c r="E276" i="31"/>
  <c r="E268" i="31"/>
  <c r="E260" i="31"/>
  <c r="E252" i="31"/>
  <c r="E244" i="31"/>
  <c r="E236" i="31"/>
  <c r="E228" i="31"/>
  <c r="E220" i="31"/>
  <c r="E212" i="31"/>
  <c r="E204" i="31"/>
  <c r="E196" i="31"/>
  <c r="E188" i="31"/>
  <c r="E180" i="31"/>
  <c r="E172" i="31"/>
  <c r="E164" i="31"/>
  <c r="E156" i="31"/>
  <c r="E148" i="31"/>
  <c r="E140" i="31"/>
  <c r="E132" i="31"/>
  <c r="E124" i="31"/>
  <c r="E116" i="31"/>
  <c r="E108" i="31"/>
  <c r="E100" i="31"/>
  <c r="E609" i="31"/>
  <c r="E527" i="31"/>
  <c r="E495" i="31"/>
  <c r="E463" i="31"/>
  <c r="E431" i="31"/>
  <c r="E399" i="31"/>
  <c r="E367" i="31"/>
  <c r="E335" i="31"/>
  <c r="E303" i="31"/>
  <c r="E280" i="31"/>
  <c r="E264" i="31"/>
  <c r="E248" i="31"/>
  <c r="E232" i="31"/>
  <c r="E216" i="31"/>
  <c r="E200" i="31"/>
  <c r="E192" i="31"/>
  <c r="E176" i="31"/>
  <c r="E160" i="31"/>
  <c r="E144" i="31"/>
  <c r="E136" i="31"/>
  <c r="E120" i="31"/>
  <c r="E104" i="31"/>
  <c r="E761" i="31"/>
  <c r="E633" i="31"/>
  <c r="E569" i="31"/>
  <c r="E507" i="31"/>
  <c r="E475" i="31"/>
  <c r="E459" i="31"/>
  <c r="E427" i="31"/>
  <c r="E411" i="31"/>
  <c r="E379" i="31"/>
  <c r="E347" i="31"/>
  <c r="E315" i="31"/>
  <c r="E286" i="31"/>
  <c r="E270" i="31"/>
  <c r="E254" i="31"/>
  <c r="E238" i="31"/>
  <c r="E222" i="31"/>
  <c r="E206" i="31"/>
  <c r="E198" i="31"/>
  <c r="E182" i="31"/>
  <c r="E166" i="31"/>
  <c r="E150" i="31"/>
  <c r="E134" i="31"/>
  <c r="E118" i="31"/>
  <c r="E102" i="31"/>
  <c r="E825" i="31"/>
  <c r="E777" i="31"/>
  <c r="E745" i="31"/>
  <c r="E713" i="31"/>
  <c r="E681" i="31"/>
  <c r="E649" i="31"/>
  <c r="E617" i="31"/>
  <c r="E585" i="31"/>
  <c r="E553" i="31"/>
  <c r="E531" i="31"/>
  <c r="E515" i="31"/>
  <c r="E499" i="31"/>
  <c r="E483" i="31"/>
  <c r="E467" i="31"/>
  <c r="E451" i="31"/>
  <c r="E435" i="31"/>
  <c r="E419" i="31"/>
  <c r="E403" i="31"/>
  <c r="E387" i="31"/>
  <c r="E371" i="31"/>
  <c r="E355" i="31"/>
  <c r="E339" i="31"/>
  <c r="E323" i="31"/>
  <c r="E307" i="31"/>
  <c r="E291" i="31"/>
  <c r="E282" i="31"/>
  <c r="E274" i="31"/>
  <c r="E266" i="31"/>
  <c r="E258" i="31"/>
  <c r="E250" i="31"/>
  <c r="E242" i="31"/>
  <c r="E234" i="31"/>
  <c r="E226" i="31"/>
  <c r="E218" i="31"/>
  <c r="E210" i="31"/>
  <c r="E202" i="31"/>
  <c r="E194" i="31"/>
  <c r="E186" i="31"/>
  <c r="E178" i="31"/>
  <c r="E170" i="31"/>
  <c r="E162" i="31"/>
  <c r="E154" i="31"/>
  <c r="E146" i="31"/>
  <c r="E138" i="31"/>
  <c r="E130" i="31"/>
  <c r="E122" i="31"/>
  <c r="E114" i="31"/>
  <c r="E106" i="31"/>
  <c r="E809" i="31"/>
  <c r="E769" i="31"/>
  <c r="E737" i="31"/>
  <c r="E705" i="31"/>
  <c r="E673" i="31"/>
  <c r="E641" i="31"/>
  <c r="E577" i="31"/>
  <c r="E545" i="31"/>
  <c r="E511" i="31"/>
  <c r="E479" i="31"/>
  <c r="E447" i="31"/>
  <c r="E415" i="31"/>
  <c r="E383" i="31"/>
  <c r="E351" i="31"/>
  <c r="E319" i="31"/>
  <c r="E288" i="31"/>
  <c r="E272" i="31"/>
  <c r="E256" i="31"/>
  <c r="E240" i="31"/>
  <c r="E224" i="31"/>
  <c r="E208" i="31"/>
  <c r="E184" i="31"/>
  <c r="E168" i="31"/>
  <c r="E152" i="31"/>
  <c r="E128" i="31"/>
  <c r="E112" i="31"/>
  <c r="E793" i="31"/>
  <c r="E729" i="31"/>
  <c r="E697" i="31"/>
  <c r="E665" i="31"/>
  <c r="E601" i="31"/>
  <c r="E539" i="31"/>
  <c r="E523" i="31"/>
  <c r="E491" i="31"/>
  <c r="E443" i="31"/>
  <c r="E395" i="31"/>
  <c r="E363" i="31"/>
  <c r="E331" i="31"/>
  <c r="E299" i="31"/>
  <c r="E278" i="31"/>
  <c r="E262" i="31"/>
  <c r="E246" i="31"/>
  <c r="E230" i="31"/>
  <c r="E214" i="31"/>
  <c r="E190" i="31"/>
  <c r="E174" i="31"/>
  <c r="E158" i="31"/>
  <c r="E142" i="31"/>
  <c r="E126" i="31"/>
  <c r="E110" i="31"/>
  <c r="F1048" i="31"/>
  <c r="F1044" i="31"/>
  <c r="F1040" i="31"/>
  <c r="F1036" i="31"/>
  <c r="F1032" i="31"/>
  <c r="F1028" i="31"/>
  <c r="F1024" i="31"/>
  <c r="F1020" i="31"/>
  <c r="F1016" i="31"/>
  <c r="F1012" i="31"/>
  <c r="F1008" i="31"/>
  <c r="F1004" i="31"/>
  <c r="F1000" i="31"/>
  <c r="F996" i="31"/>
  <c r="F992" i="31"/>
  <c r="F988" i="31"/>
  <c r="F984" i="31"/>
  <c r="F980" i="31"/>
  <c r="F976" i="31"/>
  <c r="F972" i="31"/>
  <c r="F968" i="31"/>
  <c r="F964" i="31"/>
  <c r="F960" i="31"/>
  <c r="F956" i="31"/>
  <c r="F952" i="31"/>
  <c r="F948" i="31"/>
  <c r="F944" i="31"/>
  <c r="F940" i="31"/>
  <c r="F936" i="31"/>
  <c r="F932" i="31"/>
  <c r="F928" i="31"/>
  <c r="F924" i="31"/>
  <c r="F920" i="31"/>
  <c r="F916" i="31"/>
  <c r="F912" i="31"/>
  <c r="F908" i="31"/>
  <c r="F904" i="31"/>
  <c r="F900" i="31"/>
  <c r="F896" i="31"/>
  <c r="F892" i="31"/>
  <c r="F888" i="31"/>
  <c r="F884" i="31"/>
  <c r="F880" i="31"/>
  <c r="F876" i="31"/>
  <c r="F872" i="31"/>
  <c r="F868" i="31"/>
  <c r="F864" i="31"/>
  <c r="F860" i="31"/>
  <c r="F856" i="31"/>
  <c r="F852" i="31"/>
  <c r="F848" i="31"/>
  <c r="F844" i="31"/>
  <c r="F840" i="31"/>
  <c r="F836" i="31"/>
  <c r="F832" i="31"/>
  <c r="F828" i="31"/>
  <c r="F824" i="31"/>
  <c r="F820" i="31"/>
  <c r="F816" i="31"/>
  <c r="F812" i="31"/>
  <c r="F808" i="31"/>
  <c r="F804" i="31"/>
  <c r="F800" i="31"/>
  <c r="F796" i="31"/>
  <c r="F792" i="31"/>
  <c r="F788" i="31"/>
  <c r="F784" i="31"/>
  <c r="F780" i="31"/>
  <c r="F776" i="31"/>
  <c r="F772" i="31"/>
  <c r="F768" i="31"/>
  <c r="F764" i="31"/>
  <c r="F760" i="31"/>
  <c r="F756" i="31"/>
  <c r="F752" i="31"/>
  <c r="F748" i="31"/>
  <c r="F744" i="31"/>
  <c r="F740" i="31"/>
  <c r="F736" i="31"/>
  <c r="F732" i="31"/>
  <c r="F728" i="31"/>
  <c r="F724" i="31"/>
  <c r="F720" i="31"/>
  <c r="F716" i="31"/>
  <c r="F712" i="31"/>
  <c r="F708" i="31"/>
  <c r="F704" i="31"/>
  <c r="F700" i="31"/>
  <c r="F696" i="31"/>
  <c r="F692" i="31"/>
  <c r="F688" i="31"/>
  <c r="F684" i="31"/>
  <c r="F680" i="31"/>
  <c r="F676" i="31"/>
  <c r="F672" i="31"/>
  <c r="F668" i="31"/>
  <c r="F664" i="31"/>
  <c r="F660" i="31"/>
  <c r="F656" i="31"/>
  <c r="F652" i="31"/>
  <c r="F648" i="31"/>
  <c r="F644" i="31"/>
  <c r="F640" i="31"/>
  <c r="F636" i="31"/>
  <c r="F632" i="31"/>
  <c r="F628" i="31"/>
  <c r="F624" i="31"/>
  <c r="F620" i="31"/>
  <c r="F616" i="31"/>
  <c r="F612" i="31"/>
  <c r="F608" i="31"/>
  <c r="F604" i="31"/>
  <c r="F600" i="31"/>
  <c r="F596" i="31"/>
  <c r="F592" i="31"/>
  <c r="F588" i="31"/>
  <c r="F584" i="31"/>
  <c r="F580" i="31"/>
  <c r="F576" i="31"/>
  <c r="F572" i="31"/>
  <c r="F568" i="31"/>
  <c r="F564" i="31"/>
  <c r="F560" i="31"/>
  <c r="F556" i="31"/>
  <c r="F552" i="31"/>
  <c r="F548" i="31"/>
  <c r="F544" i="31"/>
  <c r="F1047" i="31"/>
  <c r="F1043" i="31"/>
  <c r="F1039" i="31"/>
  <c r="F1035" i="31"/>
  <c r="F1031" i="31"/>
  <c r="F1027" i="31"/>
  <c r="F1023" i="31"/>
  <c r="F1019" i="31"/>
  <c r="F1015" i="31"/>
  <c r="F1011" i="31"/>
  <c r="F1007" i="31"/>
  <c r="F1003" i="31"/>
  <c r="F999" i="31"/>
  <c r="F995" i="31"/>
  <c r="F991" i="31"/>
  <c r="F987" i="31"/>
  <c r="F983" i="31"/>
  <c r="F979" i="31"/>
  <c r="F975" i="31"/>
  <c r="F971" i="31"/>
  <c r="F967" i="31"/>
  <c r="F963" i="31"/>
  <c r="F959" i="31"/>
  <c r="F955" i="31"/>
  <c r="F951" i="31"/>
  <c r="F947" i="31"/>
  <c r="F943" i="31"/>
  <c r="F939" i="31"/>
  <c r="F935" i="31"/>
  <c r="F931" i="31"/>
  <c r="F927" i="31"/>
  <c r="F923" i="31"/>
  <c r="F919" i="31"/>
  <c r="F915" i="31"/>
  <c r="F911" i="31"/>
  <c r="F907" i="31"/>
  <c r="F903" i="31"/>
  <c r="F899" i="31"/>
  <c r="F895" i="31"/>
  <c r="F891" i="31"/>
  <c r="F887" i="31"/>
  <c r="F883" i="31"/>
  <c r="F879" i="31"/>
  <c r="F875" i="31"/>
  <c r="F871" i="31"/>
  <c r="F867" i="31"/>
  <c r="F863" i="31"/>
  <c r="F859" i="31"/>
  <c r="F855" i="31"/>
  <c r="F851" i="31"/>
  <c r="F847" i="31"/>
  <c r="F843" i="31"/>
  <c r="F839" i="31"/>
  <c r="F835" i="31"/>
  <c r="F831" i="31"/>
  <c r="F827" i="31"/>
  <c r="F823" i="31"/>
  <c r="F819" i="31"/>
  <c r="F815" i="31"/>
  <c r="F811" i="31"/>
  <c r="F807" i="31"/>
  <c r="F803" i="31"/>
  <c r="F799" i="31"/>
  <c r="F795" i="31"/>
  <c r="F791" i="31"/>
  <c r="F787" i="31"/>
  <c r="F783" i="31"/>
  <c r="F779" i="31"/>
  <c r="F775" i="31"/>
  <c r="F771" i="31"/>
  <c r="F767" i="31"/>
  <c r="F763" i="31"/>
  <c r="F759" i="31"/>
  <c r="F755" i="31"/>
  <c r="F751" i="31"/>
  <c r="F747" i="31"/>
  <c r="F743" i="31"/>
  <c r="F739" i="31"/>
  <c r="F735" i="31"/>
  <c r="F731" i="31"/>
  <c r="F727" i="31"/>
  <c r="F723" i="31"/>
  <c r="F719" i="31"/>
  <c r="F715" i="31"/>
  <c r="F711" i="31"/>
  <c r="F707" i="31"/>
  <c r="F703" i="31"/>
  <c r="F699" i="31"/>
  <c r="F695" i="31"/>
  <c r="F691" i="31"/>
  <c r="F687" i="31"/>
  <c r="F683" i="31"/>
  <c r="F679" i="31"/>
  <c r="F675" i="31"/>
  <c r="F671" i="31"/>
  <c r="F667" i="31"/>
  <c r="F663" i="31"/>
  <c r="F659" i="31"/>
  <c r="F655" i="31"/>
  <c r="F651" i="31"/>
  <c r="F647" i="31"/>
  <c r="F643" i="31"/>
  <c r="F639" i="31"/>
  <c r="F635" i="31"/>
  <c r="F631" i="31"/>
  <c r="F627" i="31"/>
  <c r="F623" i="31"/>
  <c r="F619" i="31"/>
  <c r="F615" i="31"/>
  <c r="F611" i="31"/>
  <c r="F607" i="31"/>
  <c r="F603" i="31"/>
  <c r="F599" i="31"/>
  <c r="F595" i="31"/>
  <c r="F591" i="31"/>
  <c r="F587" i="31"/>
  <c r="F583" i="31"/>
  <c r="F579" i="31"/>
  <c r="F575" i="31"/>
  <c r="F571" i="31"/>
  <c r="F567" i="31"/>
  <c r="F563" i="31"/>
  <c r="F559" i="31"/>
  <c r="F555" i="31"/>
  <c r="F551" i="31"/>
  <c r="F547" i="31"/>
  <c r="F543" i="31"/>
  <c r="F1046" i="31"/>
  <c r="F1038" i="31"/>
  <c r="F1030" i="31"/>
  <c r="F1022" i="31"/>
  <c r="F1014" i="31"/>
  <c r="F1006" i="31"/>
  <c r="F998" i="31"/>
  <c r="F990" i="31"/>
  <c r="F982" i="31"/>
  <c r="F974" i="31"/>
  <c r="F966" i="31"/>
  <c r="F958" i="31"/>
  <c r="F950" i="31"/>
  <c r="F942" i="31"/>
  <c r="F934" i="31"/>
  <c r="F926" i="31"/>
  <c r="F918" i="31"/>
  <c r="F910" i="31"/>
  <c r="F902" i="31"/>
  <c r="F894" i="31"/>
  <c r="F886" i="31"/>
  <c r="F878" i="31"/>
  <c r="F870" i="31"/>
  <c r="F862" i="31"/>
  <c r="F854" i="31"/>
  <c r="F846" i="31"/>
  <c r="F838" i="31"/>
  <c r="F830" i="31"/>
  <c r="F822" i="31"/>
  <c r="F814" i="31"/>
  <c r="F806" i="31"/>
  <c r="F798" i="31"/>
  <c r="F790" i="31"/>
  <c r="F782" i="31"/>
  <c r="F774" i="31"/>
  <c r="F766" i="31"/>
  <c r="F758" i="31"/>
  <c r="F750" i="31"/>
  <c r="F742" i="31"/>
  <c r="F734" i="31"/>
  <c r="F726" i="31"/>
  <c r="F718" i="31"/>
  <c r="F710" i="31"/>
  <c r="F702" i="31"/>
  <c r="F694" i="31"/>
  <c r="F686" i="31"/>
  <c r="F678" i="31"/>
  <c r="F670" i="31"/>
  <c r="F662" i="31"/>
  <c r="F654" i="31"/>
  <c r="F646" i="31"/>
  <c r="F638" i="31"/>
  <c r="F630" i="31"/>
  <c r="F622" i="31"/>
  <c r="F614" i="31"/>
  <c r="F606" i="31"/>
  <c r="F598" i="31"/>
  <c r="F590" i="31"/>
  <c r="F582" i="31"/>
  <c r="F574" i="31"/>
  <c r="F566" i="31"/>
  <c r="F558" i="31"/>
  <c r="F550" i="31"/>
  <c r="F542" i="31"/>
  <c r="F538" i="31"/>
  <c r="F534" i="31"/>
  <c r="F530" i="31"/>
  <c r="F526" i="31"/>
  <c r="F522" i="31"/>
  <c r="F518" i="31"/>
  <c r="F514" i="31"/>
  <c r="F510" i="31"/>
  <c r="F506" i="31"/>
  <c r="F502" i="31"/>
  <c r="F498" i="31"/>
  <c r="F494" i="31"/>
  <c r="F490" i="31"/>
  <c r="F486" i="31"/>
  <c r="F482" i="31"/>
  <c r="F478" i="31"/>
  <c r="F474" i="31"/>
  <c r="F470" i="31"/>
  <c r="F466" i="31"/>
  <c r="F462" i="31"/>
  <c r="F458" i="31"/>
  <c r="F454" i="31"/>
  <c r="F450" i="31"/>
  <c r="F446" i="31"/>
  <c r="F442" i="31"/>
  <c r="F438" i="31"/>
  <c r="F434" i="31"/>
  <c r="F430" i="31"/>
  <c r="F426" i="31"/>
  <c r="F422" i="31"/>
  <c r="F418" i="31"/>
  <c r="F414" i="31"/>
  <c r="F410" i="31"/>
  <c r="F406" i="31"/>
  <c r="F402" i="31"/>
  <c r="F398" i="31"/>
  <c r="F394" i="31"/>
  <c r="F390" i="31"/>
  <c r="F386" i="31"/>
  <c r="F382" i="31"/>
  <c r="F378" i="31"/>
  <c r="F374" i="31"/>
  <c r="F370" i="31"/>
  <c r="F366" i="31"/>
  <c r="F362" i="31"/>
  <c r="F358" i="31"/>
  <c r="F354" i="31"/>
  <c r="F350" i="31"/>
  <c r="F346" i="31"/>
  <c r="F342" i="31"/>
  <c r="F338" i="31"/>
  <c r="F334" i="31"/>
  <c r="F330" i="31"/>
  <c r="F326" i="31"/>
  <c r="F322" i="31"/>
  <c r="F318" i="31"/>
  <c r="F314" i="31"/>
  <c r="F310" i="31"/>
  <c r="F306" i="31"/>
  <c r="F302" i="31"/>
  <c r="F298" i="31"/>
  <c r="F294" i="31"/>
  <c r="F290" i="31"/>
  <c r="F286" i="31"/>
  <c r="F282" i="31"/>
  <c r="F278" i="31"/>
  <c r="F274" i="31"/>
  <c r="F270" i="31"/>
  <c r="F266" i="31"/>
  <c r="F262" i="31"/>
  <c r="F258" i="31"/>
  <c r="F254" i="31"/>
  <c r="F250" i="31"/>
  <c r="F246" i="31"/>
  <c r="F242" i="31"/>
  <c r="F238" i="31"/>
  <c r="F234" i="31"/>
  <c r="F230" i="31"/>
  <c r="F226" i="31"/>
  <c r="F222" i="31"/>
  <c r="F218" i="31"/>
  <c r="F214" i="31"/>
  <c r="F210" i="31"/>
  <c r="F206" i="31"/>
  <c r="F202" i="31"/>
  <c r="F198" i="31"/>
  <c r="F194" i="31"/>
  <c r="F190" i="31"/>
  <c r="F186" i="31"/>
  <c r="F182" i="31"/>
  <c r="F178" i="31"/>
  <c r="F174" i="31"/>
  <c r="F170" i="31"/>
  <c r="F166" i="31"/>
  <c r="F162" i="31"/>
  <c r="F158" i="31"/>
  <c r="F154" i="31"/>
  <c r="F150" i="31"/>
  <c r="F146" i="31"/>
  <c r="F142" i="31"/>
  <c r="F138" i="31"/>
  <c r="F134" i="31"/>
  <c r="F130" i="31"/>
  <c r="F126" i="31"/>
  <c r="F122" i="31"/>
  <c r="F118" i="31"/>
  <c r="F114" i="31"/>
  <c r="F110" i="31"/>
  <c r="F106" i="31"/>
  <c r="F102" i="31"/>
  <c r="F1045" i="31"/>
  <c r="F1037" i="31"/>
  <c r="F1029" i="31"/>
  <c r="F1021" i="31"/>
  <c r="F1013" i="31"/>
  <c r="F1005" i="31"/>
  <c r="F997" i="31"/>
  <c r="F989" i="31"/>
  <c r="F981" i="31"/>
  <c r="F973" i="31"/>
  <c r="F965" i="31"/>
  <c r="F957" i="31"/>
  <c r="F949" i="31"/>
  <c r="F941" i="31"/>
  <c r="F933" i="31"/>
  <c r="F925" i="31"/>
  <c r="F917" i="31"/>
  <c r="F909" i="31"/>
  <c r="F901" i="31"/>
  <c r="F893" i="31"/>
  <c r="F885" i="31"/>
  <c r="F877" i="31"/>
  <c r="F869" i="31"/>
  <c r="F861" i="31"/>
  <c r="F853" i="31"/>
  <c r="F845" i="31"/>
  <c r="F837" i="31"/>
  <c r="F829" i="31"/>
  <c r="F821" i="31"/>
  <c r="F813" i="31"/>
  <c r="F805" i="31"/>
  <c r="F797" i="31"/>
  <c r="F789" i="31"/>
  <c r="F781" i="31"/>
  <c r="F773" i="31"/>
  <c r="F765" i="31"/>
  <c r="F757" i="31"/>
  <c r="F749" i="31"/>
  <c r="F741" i="31"/>
  <c r="F733" i="31"/>
  <c r="F725" i="31"/>
  <c r="F717" i="31"/>
  <c r="F709" i="31"/>
  <c r="F701" i="31"/>
  <c r="F693" i="31"/>
  <c r="F685" i="31"/>
  <c r="F677" i="31"/>
  <c r="F669" i="31"/>
  <c r="F661" i="31"/>
  <c r="F653" i="31"/>
  <c r="F645" i="31"/>
  <c r="F637" i="31"/>
  <c r="F629" i="31"/>
  <c r="F621" i="31"/>
  <c r="F613" i="31"/>
  <c r="F605" i="31"/>
  <c r="F597" i="31"/>
  <c r="F589" i="31"/>
  <c r="F581" i="31"/>
  <c r="F573" i="31"/>
  <c r="F565" i="31"/>
  <c r="F557" i="31"/>
  <c r="F549" i="31"/>
  <c r="F541" i="31"/>
  <c r="F537" i="31"/>
  <c r="F533" i="31"/>
  <c r="F529" i="31"/>
  <c r="F525" i="31"/>
  <c r="F521" i="31"/>
  <c r="F517" i="31"/>
  <c r="F513" i="31"/>
  <c r="F509" i="31"/>
  <c r="F505" i="31"/>
  <c r="F501" i="31"/>
  <c r="F497" i="31"/>
  <c r="F493" i="31"/>
  <c r="F489" i="31"/>
  <c r="F485" i="31"/>
  <c r="F481" i="31"/>
  <c r="F477" i="31"/>
  <c r="F473" i="31"/>
  <c r="F1042" i="31"/>
  <c r="F1026" i="31"/>
  <c r="F1010" i="31"/>
  <c r="F994" i="31"/>
  <c r="F978" i="31"/>
  <c r="F962" i="31"/>
  <c r="F946" i="31"/>
  <c r="F930" i="31"/>
  <c r="F914" i="31"/>
  <c r="F898" i="31"/>
  <c r="F882" i="31"/>
  <c r="F866" i="31"/>
  <c r="F850" i="31"/>
  <c r="F834" i="31"/>
  <c r="F818" i="31"/>
  <c r="F802" i="31"/>
  <c r="F786" i="31"/>
  <c r="F770" i="31"/>
  <c r="F754" i="31"/>
  <c r="F738" i="31"/>
  <c r="F722" i="31"/>
  <c r="F706" i="31"/>
  <c r="F690" i="31"/>
  <c r="F674" i="31"/>
  <c r="F658" i="31"/>
  <c r="F642" i="31"/>
  <c r="F626" i="31"/>
  <c r="F610" i="31"/>
  <c r="F594" i="31"/>
  <c r="F578" i="31"/>
  <c r="F562" i="31"/>
  <c r="F546" i="31"/>
  <c r="F536" i="31"/>
  <c r="F528" i="31"/>
  <c r="F520" i="31"/>
  <c r="F512" i="31"/>
  <c r="F504" i="31"/>
  <c r="F496" i="31"/>
  <c r="F488" i="31"/>
  <c r="F480" i="31"/>
  <c r="F472" i="31"/>
  <c r="F467" i="31"/>
  <c r="F461" i="31"/>
  <c r="F456" i="31"/>
  <c r="F451" i="31"/>
  <c r="F445" i="31"/>
  <c r="F440" i="31"/>
  <c r="F435" i="31"/>
  <c r="F429" i="31"/>
  <c r="F424" i="31"/>
  <c r="F419" i="31"/>
  <c r="F413" i="31"/>
  <c r="F408" i="31"/>
  <c r="F403" i="31"/>
  <c r="F397" i="31"/>
  <c r="F392" i="31"/>
  <c r="F387" i="31"/>
  <c r="F381" i="31"/>
  <c r="F376" i="31"/>
  <c r="F371" i="31"/>
  <c r="F365" i="31"/>
  <c r="F360" i="31"/>
  <c r="F355" i="31"/>
  <c r="F349" i="31"/>
  <c r="F344" i="31"/>
  <c r="F339" i="31"/>
  <c r="F333" i="31"/>
  <c r="F328" i="31"/>
  <c r="F323" i="31"/>
  <c r="F317" i="31"/>
  <c r="F312" i="31"/>
  <c r="F307" i="31"/>
  <c r="F301" i="31"/>
  <c r="F296" i="31"/>
  <c r="F291" i="31"/>
  <c r="F285" i="31"/>
  <c r="F280" i="31"/>
  <c r="F275" i="31"/>
  <c r="F269" i="31"/>
  <c r="F264" i="31"/>
  <c r="F259" i="31"/>
  <c r="F253" i="31"/>
  <c r="F248" i="31"/>
  <c r="F243" i="31"/>
  <c r="F237" i="31"/>
  <c r="F232" i="31"/>
  <c r="F227" i="31"/>
  <c r="F221" i="31"/>
  <c r="F216" i="31"/>
  <c r="F211" i="31"/>
  <c r="F205" i="31"/>
  <c r="F200" i="31"/>
  <c r="F195" i="31"/>
  <c r="F189" i="31"/>
  <c r="F184" i="31"/>
  <c r="F179" i="31"/>
  <c r="F173" i="31"/>
  <c r="F168" i="31"/>
  <c r="F163" i="31"/>
  <c r="F157" i="31"/>
  <c r="F152" i="31"/>
  <c r="F147" i="31"/>
  <c r="F141" i="31"/>
  <c r="F136" i="31"/>
  <c r="F131" i="31"/>
  <c r="F125" i="31"/>
  <c r="F120" i="31"/>
  <c r="F115" i="31"/>
  <c r="F109" i="31"/>
  <c r="F104" i="31"/>
  <c r="F99" i="31"/>
  <c r="F1018" i="31"/>
  <c r="F1002" i="31"/>
  <c r="F986" i="31"/>
  <c r="F954" i="31"/>
  <c r="F922" i="31"/>
  <c r="F890" i="31"/>
  <c r="F858" i="31"/>
  <c r="F826" i="31"/>
  <c r="F794" i="31"/>
  <c r="F762" i="31"/>
  <c r="F730" i="31"/>
  <c r="F698" i="31"/>
  <c r="F666" i="31"/>
  <c r="F634" i="31"/>
  <c r="F602" i="31"/>
  <c r="F570" i="31"/>
  <c r="F540" i="31"/>
  <c r="F532" i="31"/>
  <c r="F516" i="31"/>
  <c r="F500" i="31"/>
  <c r="F1041" i="31"/>
  <c r="F1025" i="31"/>
  <c r="F1009" i="31"/>
  <c r="F993" i="31"/>
  <c r="F977" i="31"/>
  <c r="F961" i="31"/>
  <c r="F945" i="31"/>
  <c r="F929" i="31"/>
  <c r="F913" i="31"/>
  <c r="F897" i="31"/>
  <c r="F881" i="31"/>
  <c r="F865" i="31"/>
  <c r="F849" i="31"/>
  <c r="F833" i="31"/>
  <c r="F817" i="31"/>
  <c r="F801" i="31"/>
  <c r="F785" i="31"/>
  <c r="F769" i="31"/>
  <c r="F753" i="31"/>
  <c r="F737" i="31"/>
  <c r="F721" i="31"/>
  <c r="F705" i="31"/>
  <c r="F689" i="31"/>
  <c r="F673" i="31"/>
  <c r="F657" i="31"/>
  <c r="F641" i="31"/>
  <c r="F625" i="31"/>
  <c r="F609" i="31"/>
  <c r="F593" i="31"/>
  <c r="F577" i="31"/>
  <c r="F561" i="31"/>
  <c r="F545" i="31"/>
  <c r="F535" i="31"/>
  <c r="F527" i="31"/>
  <c r="F519" i="31"/>
  <c r="F511" i="31"/>
  <c r="F503" i="31"/>
  <c r="F495" i="31"/>
  <c r="F487" i="31"/>
  <c r="F479" i="31"/>
  <c r="F471" i="31"/>
  <c r="F465" i="31"/>
  <c r="F460" i="31"/>
  <c r="F455" i="31"/>
  <c r="F449" i="31"/>
  <c r="F444" i="31"/>
  <c r="F439" i="31"/>
  <c r="F433" i="31"/>
  <c r="F428" i="31"/>
  <c r="F423" i="31"/>
  <c r="F417" i="31"/>
  <c r="F412" i="31"/>
  <c r="F407" i="31"/>
  <c r="F401" i="31"/>
  <c r="F396" i="31"/>
  <c r="F391" i="31"/>
  <c r="F385" i="31"/>
  <c r="F380" i="31"/>
  <c r="F375" i="31"/>
  <c r="F369" i="31"/>
  <c r="F364" i="31"/>
  <c r="F359" i="31"/>
  <c r="F353" i="31"/>
  <c r="F348" i="31"/>
  <c r="F343" i="31"/>
  <c r="F337" i="31"/>
  <c r="F332" i="31"/>
  <c r="F327" i="31"/>
  <c r="F321" i="31"/>
  <c r="F316" i="31"/>
  <c r="F311" i="31"/>
  <c r="F305" i="31"/>
  <c r="F300" i="31"/>
  <c r="F295" i="31"/>
  <c r="F289" i="31"/>
  <c r="F284" i="31"/>
  <c r="F279" i="31"/>
  <c r="F273" i="31"/>
  <c r="F268" i="31"/>
  <c r="F263" i="31"/>
  <c r="F257" i="31"/>
  <c r="F252" i="31"/>
  <c r="F247" i="31"/>
  <c r="F241" i="31"/>
  <c r="F236" i="31"/>
  <c r="F231" i="31"/>
  <c r="F225" i="31"/>
  <c r="F220" i="31"/>
  <c r="F215" i="31"/>
  <c r="F209" i="31"/>
  <c r="F204" i="31"/>
  <c r="F199" i="31"/>
  <c r="F193" i="31"/>
  <c r="F188" i="31"/>
  <c r="F183" i="31"/>
  <c r="F177" i="31"/>
  <c r="F172" i="31"/>
  <c r="F167" i="31"/>
  <c r="F161" i="31"/>
  <c r="F156" i="31"/>
  <c r="F151" i="31"/>
  <c r="F145" i="31"/>
  <c r="F140" i="31"/>
  <c r="F135" i="31"/>
  <c r="F129" i="31"/>
  <c r="F124" i="31"/>
  <c r="F119" i="31"/>
  <c r="F113" i="31"/>
  <c r="F108" i="31"/>
  <c r="F103" i="31"/>
  <c r="F1034" i="31"/>
  <c r="F970" i="31"/>
  <c r="F938" i="31"/>
  <c r="F906" i="31"/>
  <c r="F874" i="31"/>
  <c r="F842" i="31"/>
  <c r="F810" i="31"/>
  <c r="F778" i="31"/>
  <c r="F746" i="31"/>
  <c r="F714" i="31"/>
  <c r="F682" i="31"/>
  <c r="F650" i="31"/>
  <c r="F618" i="31"/>
  <c r="F586" i="31"/>
  <c r="F554" i="31"/>
  <c r="F524" i="31"/>
  <c r="F508" i="31"/>
  <c r="F1033" i="31"/>
  <c r="F969" i="31"/>
  <c r="F905" i="31"/>
  <c r="F841" i="31"/>
  <c r="F777" i="31"/>
  <c r="F713" i="31"/>
  <c r="F649" i="31"/>
  <c r="F585" i="31"/>
  <c r="F531" i="31"/>
  <c r="F499" i="31"/>
  <c r="F483" i="31"/>
  <c r="F468" i="31"/>
  <c r="F457" i="31"/>
  <c r="F447" i="31"/>
  <c r="F436" i="31"/>
  <c r="F425" i="31"/>
  <c r="F415" i="31"/>
  <c r="F404" i="31"/>
  <c r="F393" i="31"/>
  <c r="F383" i="31"/>
  <c r="F372" i="31"/>
  <c r="F361" i="31"/>
  <c r="F351" i="31"/>
  <c r="F340" i="31"/>
  <c r="F329" i="31"/>
  <c r="F319" i="31"/>
  <c r="F308" i="31"/>
  <c r="F297" i="31"/>
  <c r="F287" i="31"/>
  <c r="F276" i="31"/>
  <c r="F265" i="31"/>
  <c r="F255" i="31"/>
  <c r="F244" i="31"/>
  <c r="F233" i="31"/>
  <c r="F223" i="31"/>
  <c r="F212" i="31"/>
  <c r="F201" i="31"/>
  <c r="F191" i="31"/>
  <c r="F180" i="31"/>
  <c r="F169" i="31"/>
  <c r="F159" i="31"/>
  <c r="F148" i="31"/>
  <c r="F137" i="31"/>
  <c r="F127" i="31"/>
  <c r="F116" i="31"/>
  <c r="F105" i="31"/>
  <c r="F553" i="31"/>
  <c r="F463" i="31"/>
  <c r="F441" i="31"/>
  <c r="F420" i="31"/>
  <c r="F399" i="31"/>
  <c r="F377" i="31"/>
  <c r="F367" i="31"/>
  <c r="F345" i="31"/>
  <c r="F324" i="31"/>
  <c r="F303" i="31"/>
  <c r="F281" i="31"/>
  <c r="F260" i="31"/>
  <c r="F239" i="31"/>
  <c r="F217" i="31"/>
  <c r="F196" i="31"/>
  <c r="F185" i="31"/>
  <c r="F164" i="31"/>
  <c r="F153" i="31"/>
  <c r="F132" i="31"/>
  <c r="F111" i="31"/>
  <c r="F985" i="31"/>
  <c r="F857" i="31"/>
  <c r="F793" i="31"/>
  <c r="F665" i="31"/>
  <c r="F539" i="31"/>
  <c r="F469" i="31"/>
  <c r="F448" i="31"/>
  <c r="F427" i="31"/>
  <c r="F405" i="31"/>
  <c r="F384" i="31"/>
  <c r="F363" i="31"/>
  <c r="F341" i="31"/>
  <c r="F320" i="31"/>
  <c r="F299" i="31"/>
  <c r="F267" i="31"/>
  <c r="F245" i="31"/>
  <c r="F224" i="31"/>
  <c r="F192" i="31"/>
  <c r="F171" i="31"/>
  <c r="F149" i="31"/>
  <c r="F117" i="31"/>
  <c r="F1017" i="31"/>
  <c r="F953" i="31"/>
  <c r="F889" i="31"/>
  <c r="F825" i="31"/>
  <c r="F761" i="31"/>
  <c r="F697" i="31"/>
  <c r="F633" i="31"/>
  <c r="F569" i="31"/>
  <c r="F523" i="31"/>
  <c r="F492" i="31"/>
  <c r="F476" i="31"/>
  <c r="F464" i="31"/>
  <c r="F453" i="31"/>
  <c r="F443" i="31"/>
  <c r="F432" i="31"/>
  <c r="F421" i="31"/>
  <c r="F411" i="31"/>
  <c r="F400" i="31"/>
  <c r="F389" i="31"/>
  <c r="F379" i="31"/>
  <c r="F368" i="31"/>
  <c r="F357" i="31"/>
  <c r="F347" i="31"/>
  <c r="F336" i="31"/>
  <c r="F325" i="31"/>
  <c r="F315" i="31"/>
  <c r="F304" i="31"/>
  <c r="F293" i="31"/>
  <c r="F283" i="31"/>
  <c r="F272" i="31"/>
  <c r="F261" i="31"/>
  <c r="F251" i="31"/>
  <c r="F240" i="31"/>
  <c r="F229" i="31"/>
  <c r="F219" i="31"/>
  <c r="F208" i="31"/>
  <c r="F197" i="31"/>
  <c r="F187" i="31"/>
  <c r="F176" i="31"/>
  <c r="F165" i="31"/>
  <c r="F155" i="31"/>
  <c r="F144" i="31"/>
  <c r="F133" i="31"/>
  <c r="F123" i="31"/>
  <c r="F112" i="31"/>
  <c r="F101" i="31"/>
  <c r="F1001" i="31"/>
  <c r="F937" i="31"/>
  <c r="F873" i="31"/>
  <c r="F809" i="31"/>
  <c r="F745" i="31"/>
  <c r="F681" i="31"/>
  <c r="F617" i="31"/>
  <c r="F515" i="31"/>
  <c r="F491" i="31"/>
  <c r="F475" i="31"/>
  <c r="F452" i="31"/>
  <c r="F431" i="31"/>
  <c r="F409" i="31"/>
  <c r="F388" i="31"/>
  <c r="F356" i="31"/>
  <c r="F335" i="31"/>
  <c r="F313" i="31"/>
  <c r="F292" i="31"/>
  <c r="F271" i="31"/>
  <c r="F249" i="31"/>
  <c r="F228" i="31"/>
  <c r="F207" i="31"/>
  <c r="F175" i="31"/>
  <c r="F143" i="31"/>
  <c r="F121" i="31"/>
  <c r="F100" i="31"/>
  <c r="F921" i="31"/>
  <c r="F729" i="31"/>
  <c r="F601" i="31"/>
  <c r="F507" i="31"/>
  <c r="F484" i="31"/>
  <c r="F459" i="31"/>
  <c r="F437" i="31"/>
  <c r="F416" i="31"/>
  <c r="F395" i="31"/>
  <c r="F373" i="31"/>
  <c r="F352" i="31"/>
  <c r="F331" i="31"/>
  <c r="F309" i="31"/>
  <c r="F288" i="31"/>
  <c r="F277" i="31"/>
  <c r="F256" i="31"/>
  <c r="F235" i="31"/>
  <c r="F213" i="31"/>
  <c r="F203" i="31"/>
  <c r="F181" i="31"/>
  <c r="F160" i="31"/>
  <c r="F139" i="31"/>
  <c r="F128" i="31"/>
  <c r="F107" i="31"/>
  <c r="F98" i="31"/>
  <c r="F19" i="31" l="1"/>
  <c r="F33" i="31"/>
  <c r="F35" i="31"/>
  <c r="J115" i="31" l="1"/>
  <c r="J132" i="31" s="1"/>
  <c r="I100" i="31"/>
  <c r="I99" i="31"/>
  <c r="I116" i="31" s="1"/>
  <c r="I133" i="31" s="1"/>
  <c r="I115" i="31"/>
  <c r="I132" i="31" s="1"/>
  <c r="I149" i="31" s="1"/>
  <c r="I166" i="31" s="1"/>
  <c r="J99" i="31"/>
  <c r="J100" i="31" s="1"/>
  <c r="K98" i="31"/>
  <c r="D98" i="31" s="1"/>
  <c r="H98" i="31"/>
  <c r="K63" i="31"/>
  <c r="H63" i="31"/>
  <c r="Z23" i="31"/>
  <c r="Z22" i="31"/>
  <c r="Z21" i="31"/>
  <c r="Z20" i="31"/>
  <c r="Z19" i="31"/>
  <c r="Z18" i="31"/>
  <c r="Z17" i="31"/>
  <c r="Z16" i="31"/>
  <c r="Z15" i="31"/>
  <c r="Z14" i="31"/>
  <c r="Z13" i="31"/>
  <c r="Z12" i="31"/>
  <c r="Z11" i="31"/>
  <c r="Z10" i="31"/>
  <c r="M87" i="31"/>
  <c r="K87" i="31"/>
  <c r="H87" i="31"/>
  <c r="K84" i="31"/>
  <c r="H84" i="31"/>
  <c r="M81" i="31"/>
  <c r="K81" i="31"/>
  <c r="H81" i="31"/>
  <c r="K78" i="31"/>
  <c r="H78" i="31"/>
  <c r="K75" i="31"/>
  <c r="H75" i="31"/>
  <c r="K72" i="31"/>
  <c r="H72" i="31"/>
  <c r="D39" i="31"/>
  <c r="X26" i="31"/>
  <c r="X25" i="31"/>
  <c r="X24" i="31"/>
  <c r="X23" i="31"/>
  <c r="X22" i="31"/>
  <c r="X21" i="31"/>
  <c r="D72" i="31" s="1"/>
  <c r="X14" i="31"/>
  <c r="X13" i="31"/>
  <c r="X12" i="31"/>
  <c r="X11" i="31"/>
  <c r="X10" i="31"/>
  <c r="K69" i="31"/>
  <c r="H69" i="31"/>
  <c r="K67" i="31"/>
  <c r="D67" i="31" s="1"/>
  <c r="H67" i="31"/>
  <c r="K65" i="31"/>
  <c r="D65" i="31" s="1"/>
  <c r="H65" i="31"/>
  <c r="K62" i="31"/>
  <c r="H62" i="31"/>
  <c r="B49" i="31"/>
  <c r="B51" i="31" s="1"/>
  <c r="N60" i="31"/>
  <c r="M60" i="31"/>
  <c r="K60" i="31"/>
  <c r="D60" i="31" s="1"/>
  <c r="H60" i="31"/>
  <c r="N59" i="31"/>
  <c r="K59" i="31"/>
  <c r="H59" i="31"/>
  <c r="K57" i="31"/>
  <c r="H57" i="31"/>
  <c r="K55" i="31"/>
  <c r="H55" i="31"/>
  <c r="K53" i="31"/>
  <c r="H53" i="31"/>
  <c r="K52" i="31"/>
  <c r="D52" i="31" s="1"/>
  <c r="H52" i="31"/>
  <c r="K50" i="31"/>
  <c r="H50" i="31"/>
  <c r="K39" i="31"/>
  <c r="H39" i="31"/>
  <c r="K37" i="31"/>
  <c r="H37" i="31"/>
  <c r="K35" i="31"/>
  <c r="H35" i="31"/>
  <c r="K33" i="31"/>
  <c r="H33" i="31"/>
  <c r="F87" i="31"/>
  <c r="F78" i="31"/>
  <c r="F67" i="31"/>
  <c r="F59" i="31"/>
  <c r="F50" i="31"/>
  <c r="F75" i="31"/>
  <c r="F65" i="31"/>
  <c r="F55" i="31"/>
  <c r="F63" i="31"/>
  <c r="F81" i="31"/>
  <c r="F60" i="31"/>
  <c r="F69" i="31"/>
  <c r="F62" i="31"/>
  <c r="F72" i="31"/>
  <c r="F53" i="31"/>
  <c r="F52" i="31"/>
  <c r="F84" i="31"/>
  <c r="E81" i="31"/>
  <c r="E65" i="31"/>
  <c r="C67" i="31"/>
  <c r="C84" i="31"/>
  <c r="C98" i="31"/>
  <c r="E98" i="31"/>
  <c r="E63" i="31"/>
  <c r="E75" i="31"/>
  <c r="E69" i="31"/>
  <c r="C87" i="31"/>
  <c r="C65" i="31"/>
  <c r="C69" i="31"/>
  <c r="E84" i="31"/>
  <c r="E62" i="31"/>
  <c r="C63" i="31"/>
  <c r="C81" i="31"/>
  <c r="C78" i="31"/>
  <c r="E87" i="31"/>
  <c r="E78" i="31"/>
  <c r="E72" i="31"/>
  <c r="E67" i="31"/>
  <c r="C75" i="31"/>
  <c r="C62" i="31"/>
  <c r="C72" i="31"/>
  <c r="D87" i="31" l="1"/>
  <c r="D88" i="31" s="1"/>
  <c r="H99" i="31"/>
  <c r="J116" i="31"/>
  <c r="K99" i="31"/>
  <c r="H132" i="31"/>
  <c r="J149" i="31"/>
  <c r="K149" i="31" s="1"/>
  <c r="J133" i="31"/>
  <c r="H133" i="31" s="1"/>
  <c r="H116" i="31"/>
  <c r="J117" i="31"/>
  <c r="H117" i="31" s="1"/>
  <c r="H100" i="31"/>
  <c r="I117" i="31"/>
  <c r="K117" i="31" s="1"/>
  <c r="I183" i="31"/>
  <c r="I200" i="31" s="1"/>
  <c r="D78" i="31"/>
  <c r="D79" i="31" s="1"/>
  <c r="I150" i="31"/>
  <c r="I167" i="31" s="1"/>
  <c r="K133" i="31"/>
  <c r="J134" i="31"/>
  <c r="H149" i="31"/>
  <c r="K116" i="31"/>
  <c r="K132" i="31"/>
  <c r="I101" i="31"/>
  <c r="J101" i="31"/>
  <c r="J118" i="31" s="1"/>
  <c r="K100" i="31"/>
  <c r="D84" i="31"/>
  <c r="D85" i="31" s="1"/>
  <c r="D63" i="31"/>
  <c r="D62" i="31"/>
  <c r="D81" i="31"/>
  <c r="D82" i="31" s="1"/>
  <c r="D69" i="31"/>
  <c r="C70" i="31" s="1"/>
  <c r="D73" i="31"/>
  <c r="D75" i="31"/>
  <c r="D76" i="31" s="1"/>
  <c r="C73" i="31"/>
  <c r="E73" i="31"/>
  <c r="F73" i="31"/>
  <c r="B54" i="31"/>
  <c r="A4" i="31"/>
  <c r="J150" i="31" l="1"/>
  <c r="J167" i="31" s="1"/>
  <c r="C79" i="31"/>
  <c r="F79" i="31"/>
  <c r="K167" i="31"/>
  <c r="H167" i="31"/>
  <c r="J184" i="31"/>
  <c r="J135" i="31"/>
  <c r="H118" i="31"/>
  <c r="J166" i="31"/>
  <c r="E79" i="31"/>
  <c r="I102" i="31"/>
  <c r="I118" i="31"/>
  <c r="I184" i="31"/>
  <c r="I134" i="31"/>
  <c r="I217" i="31"/>
  <c r="K150" i="31"/>
  <c r="H150" i="31"/>
  <c r="J151" i="31"/>
  <c r="H134" i="31"/>
  <c r="J102" i="31"/>
  <c r="J119" i="31" s="1"/>
  <c r="H101" i="31"/>
  <c r="K101" i="31"/>
  <c r="F85" i="31"/>
  <c r="F82" i="31"/>
  <c r="E70" i="31"/>
  <c r="F70" i="31"/>
  <c r="D70" i="31"/>
  <c r="C85" i="31"/>
  <c r="E85" i="31"/>
  <c r="E82" i="31"/>
  <c r="C82" i="31"/>
  <c r="E76" i="31"/>
  <c r="F76" i="31"/>
  <c r="C76" i="31"/>
  <c r="C88" i="31"/>
  <c r="F88" i="31"/>
  <c r="E88" i="31"/>
  <c r="B56" i="31"/>
  <c r="B58" i="31" s="1"/>
  <c r="A25" i="31"/>
  <c r="H19" i="31"/>
  <c r="I151" i="31" l="1"/>
  <c r="I103" i="31"/>
  <c r="I119" i="31"/>
  <c r="K134" i="31"/>
  <c r="K151" i="31"/>
  <c r="J168" i="31"/>
  <c r="H184" i="31"/>
  <c r="J201" i="31"/>
  <c r="H119" i="31"/>
  <c r="J136" i="31"/>
  <c r="J152" i="31"/>
  <c r="H135" i="31"/>
  <c r="K184" i="31"/>
  <c r="I201" i="31"/>
  <c r="H166" i="31"/>
  <c r="J183" i="31"/>
  <c r="K166" i="31"/>
  <c r="I135" i="31"/>
  <c r="K118" i="31"/>
  <c r="A43" i="31"/>
  <c r="A90" i="31" s="1"/>
  <c r="I234" i="31"/>
  <c r="H151" i="31"/>
  <c r="J103" i="31"/>
  <c r="J120" i="31" s="1"/>
  <c r="H102" i="31"/>
  <c r="K102" i="31"/>
  <c r="B61" i="31"/>
  <c r="P10" i="31"/>
  <c r="P11" i="31" s="1"/>
  <c r="I218" i="31" l="1"/>
  <c r="K201" i="31"/>
  <c r="J185" i="31"/>
  <c r="H168" i="31"/>
  <c r="I104" i="31"/>
  <c r="I120" i="31"/>
  <c r="J137" i="31"/>
  <c r="H120" i="31"/>
  <c r="K183" i="31"/>
  <c r="H183" i="31"/>
  <c r="J200" i="31"/>
  <c r="J169" i="31"/>
  <c r="H152" i="31"/>
  <c r="H201" i="31"/>
  <c r="J218" i="31"/>
  <c r="I168" i="31"/>
  <c r="K135" i="31"/>
  <c r="I152" i="31"/>
  <c r="I136" i="31"/>
  <c r="K119" i="31"/>
  <c r="H136" i="31"/>
  <c r="J153" i="31"/>
  <c r="I251" i="31"/>
  <c r="H103" i="31"/>
  <c r="J104" i="31"/>
  <c r="J121" i="31" s="1"/>
  <c r="K103" i="31"/>
  <c r="M103" i="31"/>
  <c r="B64" i="31"/>
  <c r="P12" i="31"/>
  <c r="N183" i="31" s="1"/>
  <c r="N81" i="31"/>
  <c r="J170" i="31" l="1"/>
  <c r="H153" i="31"/>
  <c r="J186" i="31"/>
  <c r="H169" i="31"/>
  <c r="I137" i="31"/>
  <c r="K120" i="31"/>
  <c r="H185" i="31"/>
  <c r="J202" i="31"/>
  <c r="K136" i="31"/>
  <c r="I153" i="31"/>
  <c r="K200" i="31"/>
  <c r="N200" i="31"/>
  <c r="J217" i="31"/>
  <c r="H200" i="31"/>
  <c r="I105" i="31"/>
  <c r="I121" i="31"/>
  <c r="P13" i="31"/>
  <c r="N218" i="31" s="1"/>
  <c r="N98" i="31"/>
  <c r="M98" i="31"/>
  <c r="M99" i="31"/>
  <c r="N132" i="31"/>
  <c r="M100" i="31"/>
  <c r="N149" i="31"/>
  <c r="M101" i="31"/>
  <c r="M102" i="31"/>
  <c r="N166" i="31"/>
  <c r="I169" i="31"/>
  <c r="K152" i="31"/>
  <c r="I185" i="31"/>
  <c r="K168" i="31"/>
  <c r="J154" i="31"/>
  <c r="H137" i="31"/>
  <c r="I235" i="31"/>
  <c r="K218" i="31"/>
  <c r="H121" i="31"/>
  <c r="J138" i="31"/>
  <c r="J235" i="31"/>
  <c r="H218" i="31"/>
  <c r="I268" i="31"/>
  <c r="J105" i="31"/>
  <c r="J122" i="31" s="1"/>
  <c r="H104" i="31"/>
  <c r="K104" i="31"/>
  <c r="M104" i="31"/>
  <c r="B66" i="31"/>
  <c r="M120" i="31" l="1"/>
  <c r="J252" i="31"/>
  <c r="H235" i="31"/>
  <c r="N235" i="31"/>
  <c r="I186" i="31"/>
  <c r="K169" i="31"/>
  <c r="I106" i="31"/>
  <c r="I122" i="31"/>
  <c r="J219" i="31"/>
  <c r="H202" i="31"/>
  <c r="K185" i="31"/>
  <c r="I202" i="31"/>
  <c r="I170" i="31"/>
  <c r="K153" i="31"/>
  <c r="I154" i="31"/>
  <c r="K137" i="31"/>
  <c r="H122" i="31"/>
  <c r="J139" i="31"/>
  <c r="K138" i="31"/>
  <c r="J155" i="31"/>
  <c r="H138" i="31"/>
  <c r="J171" i="31"/>
  <c r="H154" i="31"/>
  <c r="P14" i="31"/>
  <c r="N99" i="31"/>
  <c r="M116" i="31"/>
  <c r="N133" i="31"/>
  <c r="N116" i="31"/>
  <c r="N167" i="31"/>
  <c r="M117" i="31"/>
  <c r="N150" i="31"/>
  <c r="N184" i="31"/>
  <c r="M118" i="31"/>
  <c r="M119" i="31"/>
  <c r="N201" i="31"/>
  <c r="H217" i="31"/>
  <c r="N217" i="31"/>
  <c r="J234" i="31"/>
  <c r="K217" i="31"/>
  <c r="I252" i="31"/>
  <c r="K235" i="31"/>
  <c r="I138" i="31"/>
  <c r="M121" i="31"/>
  <c r="K121" i="31"/>
  <c r="H186" i="31"/>
  <c r="J203" i="31"/>
  <c r="H170" i="31"/>
  <c r="J187" i="31"/>
  <c r="I285" i="31"/>
  <c r="J106" i="31"/>
  <c r="J123" i="31" s="1"/>
  <c r="H105" i="31"/>
  <c r="K105" i="31"/>
  <c r="M105" i="31"/>
  <c r="B68" i="31"/>
  <c r="B71" i="31" s="1"/>
  <c r="I203" i="31" l="1"/>
  <c r="K186" i="31"/>
  <c r="B74" i="31"/>
  <c r="H203" i="31"/>
  <c r="J220" i="31"/>
  <c r="N100" i="31"/>
  <c r="M132" i="31"/>
  <c r="M133" i="31"/>
  <c r="N134" i="31"/>
  <c r="N117" i="31"/>
  <c r="M134" i="31"/>
  <c r="N151" i="31"/>
  <c r="N168" i="31"/>
  <c r="M135" i="31"/>
  <c r="M136" i="31"/>
  <c r="N185" i="31"/>
  <c r="M75" i="31"/>
  <c r="P15" i="31"/>
  <c r="J156" i="31"/>
  <c r="H139" i="31"/>
  <c r="M137" i="31"/>
  <c r="I187" i="31"/>
  <c r="K170" i="31"/>
  <c r="N202" i="31"/>
  <c r="I107" i="31"/>
  <c r="I123" i="31"/>
  <c r="I269" i="31"/>
  <c r="K252" i="31"/>
  <c r="J204" i="31"/>
  <c r="H187" i="31"/>
  <c r="M138" i="31"/>
  <c r="I155" i="31"/>
  <c r="I171" i="31"/>
  <c r="K154" i="31"/>
  <c r="J188" i="31"/>
  <c r="H171" i="31"/>
  <c r="I139" i="31"/>
  <c r="M122" i="31"/>
  <c r="K122" i="31"/>
  <c r="J140" i="31"/>
  <c r="H123" i="31"/>
  <c r="K234" i="31"/>
  <c r="N234" i="31"/>
  <c r="H234" i="31"/>
  <c r="J251" i="31"/>
  <c r="J172" i="31"/>
  <c r="H155" i="31"/>
  <c r="I219" i="31"/>
  <c r="K202" i="31"/>
  <c r="H219" i="31"/>
  <c r="N219" i="31"/>
  <c r="J236" i="31"/>
  <c r="H252" i="31"/>
  <c r="N252" i="31"/>
  <c r="J269" i="31"/>
  <c r="I302" i="31"/>
  <c r="J107" i="31"/>
  <c r="J124" i="31" s="1"/>
  <c r="H106" i="31"/>
  <c r="K106" i="31"/>
  <c r="M106" i="31"/>
  <c r="J157" i="31" l="1"/>
  <c r="H140" i="31"/>
  <c r="M149" i="31"/>
  <c r="N118" i="31"/>
  <c r="M150" i="31"/>
  <c r="N101" i="31"/>
  <c r="N135" i="31"/>
  <c r="N152" i="31"/>
  <c r="M151" i="31"/>
  <c r="M152" i="31"/>
  <c r="N169" i="31"/>
  <c r="N186" i="31"/>
  <c r="P16" i="31"/>
  <c r="M65" i="31"/>
  <c r="M153" i="31"/>
  <c r="N75" i="31"/>
  <c r="M72" i="31"/>
  <c r="B77" i="31"/>
  <c r="B80" i="31" s="1"/>
  <c r="B83" i="31" s="1"/>
  <c r="J253" i="31"/>
  <c r="H236" i="31"/>
  <c r="N236" i="31"/>
  <c r="H172" i="31"/>
  <c r="J189" i="31"/>
  <c r="H188" i="31"/>
  <c r="J205" i="31"/>
  <c r="I188" i="31"/>
  <c r="M171" i="31"/>
  <c r="K171" i="31"/>
  <c r="H220" i="31"/>
  <c r="N220" i="31"/>
  <c r="J237" i="31"/>
  <c r="J141" i="31"/>
  <c r="H124" i="31"/>
  <c r="J286" i="31"/>
  <c r="H269" i="31"/>
  <c r="N269" i="31"/>
  <c r="I236" i="31"/>
  <c r="K219" i="31"/>
  <c r="H251" i="31"/>
  <c r="K251" i="31"/>
  <c r="N251" i="31"/>
  <c r="J268" i="31"/>
  <c r="I172" i="31"/>
  <c r="M155" i="31"/>
  <c r="K155" i="31"/>
  <c r="H204" i="31"/>
  <c r="N204" i="31"/>
  <c r="J221" i="31"/>
  <c r="I140" i="31"/>
  <c r="M123" i="31"/>
  <c r="K123" i="31"/>
  <c r="N203" i="31"/>
  <c r="I286" i="31"/>
  <c r="K269" i="31"/>
  <c r="M139" i="31"/>
  <c r="K139" i="31"/>
  <c r="I156" i="31"/>
  <c r="M154" i="31"/>
  <c r="I108" i="31"/>
  <c r="I124" i="31"/>
  <c r="I204" i="31"/>
  <c r="K187" i="31"/>
  <c r="J173" i="31"/>
  <c r="H156" i="31"/>
  <c r="I220" i="31"/>
  <c r="K203" i="31"/>
  <c r="I319" i="31"/>
  <c r="J108" i="31"/>
  <c r="J125" i="31" s="1"/>
  <c r="H107" i="31"/>
  <c r="K107" i="31"/>
  <c r="M107" i="31"/>
  <c r="I221" i="31" l="1"/>
  <c r="K204" i="31"/>
  <c r="K268" i="31"/>
  <c r="N268" i="31"/>
  <c r="J285" i="31"/>
  <c r="H268" i="31"/>
  <c r="J190" i="31"/>
  <c r="H173" i="31"/>
  <c r="I141" i="31"/>
  <c r="M124" i="31"/>
  <c r="K124" i="31"/>
  <c r="I157" i="31"/>
  <c r="M140" i="31"/>
  <c r="K140" i="31"/>
  <c r="N286" i="31"/>
  <c r="J303" i="31"/>
  <c r="H286" i="31"/>
  <c r="N237" i="31"/>
  <c r="H237" i="31"/>
  <c r="J254" i="31"/>
  <c r="I173" i="31"/>
  <c r="K156" i="31"/>
  <c r="M156" i="31"/>
  <c r="I303" i="31"/>
  <c r="K286" i="31"/>
  <c r="I237" i="31"/>
  <c r="K220" i="31"/>
  <c r="I109" i="31"/>
  <c r="I125" i="31"/>
  <c r="J238" i="31"/>
  <c r="N221" i="31"/>
  <c r="H221" i="31"/>
  <c r="K236" i="31"/>
  <c r="I253" i="31"/>
  <c r="I205" i="31"/>
  <c r="K188" i="31"/>
  <c r="J206" i="31"/>
  <c r="H189" i="31"/>
  <c r="M166" i="31"/>
  <c r="M167" i="31"/>
  <c r="N102" i="31"/>
  <c r="N119" i="31"/>
  <c r="N136" i="31"/>
  <c r="N153" i="31"/>
  <c r="M168" i="31"/>
  <c r="M169" i="31"/>
  <c r="N170" i="31"/>
  <c r="P17" i="31"/>
  <c r="N205" i="31" s="1"/>
  <c r="M37" i="31"/>
  <c r="M170" i="31"/>
  <c r="M35" i="31"/>
  <c r="M50" i="31"/>
  <c r="M39" i="31"/>
  <c r="N187" i="31"/>
  <c r="M33" i="31"/>
  <c r="B86" i="31"/>
  <c r="H125" i="31"/>
  <c r="J142" i="31"/>
  <c r="I189" i="31"/>
  <c r="M172" i="31"/>
  <c r="K172" i="31"/>
  <c r="H141" i="31"/>
  <c r="J158" i="31"/>
  <c r="J222" i="31"/>
  <c r="H205" i="31"/>
  <c r="J270" i="31"/>
  <c r="H253" i="31"/>
  <c r="N253" i="31"/>
  <c r="J174" i="31"/>
  <c r="H157" i="31"/>
  <c r="I336" i="31"/>
  <c r="J109" i="31"/>
  <c r="J126" i="31" s="1"/>
  <c r="H108" i="31"/>
  <c r="K108" i="31"/>
  <c r="M108" i="31"/>
  <c r="J175" i="31" l="1"/>
  <c r="H158" i="31"/>
  <c r="J223" i="31"/>
  <c r="H206" i="31"/>
  <c r="I110" i="31"/>
  <c r="I126" i="31"/>
  <c r="H174" i="31"/>
  <c r="J191" i="31"/>
  <c r="I206" i="31"/>
  <c r="M189" i="31"/>
  <c r="K189" i="31"/>
  <c r="P18" i="31"/>
  <c r="N206" i="31" s="1"/>
  <c r="M183" i="31"/>
  <c r="M184" i="31"/>
  <c r="N120" i="31"/>
  <c r="N103" i="31"/>
  <c r="N137" i="31"/>
  <c r="N154" i="31"/>
  <c r="M185" i="31"/>
  <c r="N171" i="31"/>
  <c r="M186" i="31"/>
  <c r="M187" i="31"/>
  <c r="N188" i="31"/>
  <c r="I270" i="31"/>
  <c r="K253" i="31"/>
  <c r="I190" i="31"/>
  <c r="M173" i="31"/>
  <c r="K173" i="31"/>
  <c r="I158" i="31"/>
  <c r="K141" i="31"/>
  <c r="M141" i="31"/>
  <c r="N270" i="31"/>
  <c r="J287" i="31"/>
  <c r="H270" i="31"/>
  <c r="H126" i="31"/>
  <c r="J143" i="31"/>
  <c r="N222" i="31"/>
  <c r="J239" i="31"/>
  <c r="H222" i="31"/>
  <c r="H142" i="31"/>
  <c r="J159" i="31"/>
  <c r="H238" i="31"/>
  <c r="J255" i="31"/>
  <c r="N238" i="31"/>
  <c r="I320" i="31"/>
  <c r="K303" i="31"/>
  <c r="H254" i="31"/>
  <c r="J271" i="31"/>
  <c r="N254" i="31"/>
  <c r="N303" i="31"/>
  <c r="J320" i="31"/>
  <c r="H303" i="31"/>
  <c r="I174" i="31"/>
  <c r="M157" i="31"/>
  <c r="K157" i="31"/>
  <c r="K285" i="31"/>
  <c r="H285" i="31"/>
  <c r="N285" i="31"/>
  <c r="J302" i="31"/>
  <c r="I238" i="31"/>
  <c r="K221" i="31"/>
  <c r="I222" i="31"/>
  <c r="K205" i="31"/>
  <c r="M205" i="31"/>
  <c r="M188" i="31"/>
  <c r="I142" i="31"/>
  <c r="M125" i="31"/>
  <c r="K125" i="31"/>
  <c r="I254" i="31"/>
  <c r="K237" i="31"/>
  <c r="J207" i="31"/>
  <c r="H190" i="31"/>
  <c r="I353" i="31"/>
  <c r="J110" i="31"/>
  <c r="J127" i="31" s="1"/>
  <c r="H109" i="31"/>
  <c r="K109" i="31"/>
  <c r="M109" i="31"/>
  <c r="J288" i="31" l="1"/>
  <c r="H271" i="31"/>
  <c r="N271" i="31"/>
  <c r="I159" i="31"/>
  <c r="M142" i="31"/>
  <c r="I239" i="31"/>
  <c r="K222" i="31"/>
  <c r="K302" i="31"/>
  <c r="N302" i="31"/>
  <c r="J319" i="31"/>
  <c r="H302" i="31"/>
  <c r="H320" i="31"/>
  <c r="J337" i="31"/>
  <c r="N320" i="31"/>
  <c r="J176" i="31"/>
  <c r="H159" i="31"/>
  <c r="J256" i="31"/>
  <c r="H239" i="31"/>
  <c r="N239" i="31"/>
  <c r="M200" i="31"/>
  <c r="M201" i="31"/>
  <c r="N121" i="31"/>
  <c r="N104" i="31"/>
  <c r="N138" i="31"/>
  <c r="N155" i="31"/>
  <c r="M202" i="31"/>
  <c r="N172" i="31"/>
  <c r="P19" i="31"/>
  <c r="M222" i="31" s="1"/>
  <c r="N65" i="31"/>
  <c r="M203" i="31"/>
  <c r="M204" i="31"/>
  <c r="N189" i="31"/>
  <c r="H191" i="31"/>
  <c r="J208" i="31"/>
  <c r="I111" i="31"/>
  <c r="I127" i="31"/>
  <c r="K320" i="31"/>
  <c r="I337" i="31"/>
  <c r="I287" i="31"/>
  <c r="K270" i="31"/>
  <c r="I143" i="31"/>
  <c r="M126" i="31"/>
  <c r="K126" i="31"/>
  <c r="H127" i="31"/>
  <c r="J144" i="31"/>
  <c r="K254" i="31"/>
  <c r="I271" i="31"/>
  <c r="J272" i="31"/>
  <c r="H255" i="31"/>
  <c r="N255" i="31"/>
  <c r="I207" i="31"/>
  <c r="K190" i="31"/>
  <c r="M190" i="31"/>
  <c r="I223" i="31"/>
  <c r="K206" i="31"/>
  <c r="M206" i="31"/>
  <c r="H207" i="31"/>
  <c r="J224" i="31"/>
  <c r="I255" i="31"/>
  <c r="K255" i="31" s="1"/>
  <c r="K238" i="31"/>
  <c r="I191" i="31"/>
  <c r="M174" i="31"/>
  <c r="K174" i="31"/>
  <c r="K142" i="31"/>
  <c r="J160" i="31"/>
  <c r="H143" i="31"/>
  <c r="J304" i="31"/>
  <c r="N287" i="31"/>
  <c r="H287" i="31"/>
  <c r="I175" i="31"/>
  <c r="K158" i="31"/>
  <c r="M158" i="31"/>
  <c r="H223" i="31"/>
  <c r="N223" i="31"/>
  <c r="J240" i="31"/>
  <c r="H175" i="31"/>
  <c r="J192" i="31"/>
  <c r="I370" i="31"/>
  <c r="M353" i="31"/>
  <c r="H110" i="31"/>
  <c r="J111" i="31"/>
  <c r="J128" i="31" s="1"/>
  <c r="K110" i="31"/>
  <c r="M110" i="31"/>
  <c r="N207" i="31" l="1"/>
  <c r="J177" i="31"/>
  <c r="H160" i="31"/>
  <c r="M191" i="31"/>
  <c r="I208" i="31"/>
  <c r="K208" i="31" s="1"/>
  <c r="K207" i="31"/>
  <c r="M207" i="31"/>
  <c r="I224" i="31"/>
  <c r="J161" i="31"/>
  <c r="H144" i="31"/>
  <c r="I144" i="31"/>
  <c r="M127" i="31"/>
  <c r="K127" i="31"/>
  <c r="J193" i="31"/>
  <c r="H176" i="31"/>
  <c r="I176" i="31"/>
  <c r="M159" i="31"/>
  <c r="K159" i="31"/>
  <c r="N240" i="31"/>
  <c r="H240" i="31"/>
  <c r="J257" i="31"/>
  <c r="H304" i="31"/>
  <c r="J321" i="31"/>
  <c r="N304" i="31"/>
  <c r="J241" i="31"/>
  <c r="H224" i="31"/>
  <c r="N224" i="31"/>
  <c r="I240" i="31"/>
  <c r="M223" i="31"/>
  <c r="K223" i="31"/>
  <c r="I288" i="31"/>
  <c r="K271" i="31"/>
  <c r="I160" i="31"/>
  <c r="M143" i="31"/>
  <c r="K143" i="31"/>
  <c r="K337" i="31"/>
  <c r="I354" i="31"/>
  <c r="I112" i="31"/>
  <c r="I128" i="31"/>
  <c r="K191" i="31"/>
  <c r="N256" i="31"/>
  <c r="H256" i="31"/>
  <c r="J273" i="31"/>
  <c r="K319" i="31"/>
  <c r="H319" i="31"/>
  <c r="J336" i="31"/>
  <c r="N319" i="31"/>
  <c r="J145" i="31"/>
  <c r="H128" i="31"/>
  <c r="H192" i="31"/>
  <c r="J209" i="31"/>
  <c r="I192" i="31"/>
  <c r="M175" i="31"/>
  <c r="K175" i="31"/>
  <c r="I272" i="31"/>
  <c r="N208" i="31"/>
  <c r="J225" i="31"/>
  <c r="H208" i="31"/>
  <c r="M217" i="31"/>
  <c r="M218" i="31"/>
  <c r="N122" i="31"/>
  <c r="N105" i="31"/>
  <c r="N139" i="31"/>
  <c r="N156" i="31"/>
  <c r="M219" i="31"/>
  <c r="M57" i="31"/>
  <c r="P20" i="31"/>
  <c r="M239" i="31" s="1"/>
  <c r="M67" i="31"/>
  <c r="M220" i="31"/>
  <c r="M69" i="31"/>
  <c r="N173" i="31"/>
  <c r="N190" i="31"/>
  <c r="M221" i="31"/>
  <c r="H337" i="31"/>
  <c r="N337" i="31"/>
  <c r="J354" i="31"/>
  <c r="K239" i="31"/>
  <c r="I256" i="31"/>
  <c r="H272" i="31"/>
  <c r="N272" i="31"/>
  <c r="J289" i="31"/>
  <c r="K287" i="31"/>
  <c r="I304" i="31"/>
  <c r="H288" i="31"/>
  <c r="N288" i="31"/>
  <c r="J305" i="31"/>
  <c r="I387" i="31"/>
  <c r="M370" i="31"/>
  <c r="H111" i="31"/>
  <c r="J112" i="31"/>
  <c r="J129" i="31" s="1"/>
  <c r="K111" i="31"/>
  <c r="M111" i="31"/>
  <c r="H305" i="31" l="1"/>
  <c r="N305" i="31"/>
  <c r="J322" i="31"/>
  <c r="N354" i="31"/>
  <c r="J371" i="31"/>
  <c r="H354" i="31"/>
  <c r="I177" i="31"/>
  <c r="K160" i="31"/>
  <c r="M160" i="31"/>
  <c r="I273" i="31"/>
  <c r="K256" i="31"/>
  <c r="M256" i="31"/>
  <c r="M234" i="31"/>
  <c r="M235" i="31"/>
  <c r="N123" i="31"/>
  <c r="N106" i="31"/>
  <c r="N140" i="31"/>
  <c r="M236" i="31"/>
  <c r="N157" i="31"/>
  <c r="N174" i="31"/>
  <c r="N67" i="31"/>
  <c r="M237" i="31"/>
  <c r="P21" i="31"/>
  <c r="M238" i="31"/>
  <c r="N191" i="31"/>
  <c r="N273" i="31"/>
  <c r="J290" i="31"/>
  <c r="H273" i="31"/>
  <c r="I145" i="31"/>
  <c r="M128" i="31"/>
  <c r="K128" i="31"/>
  <c r="J258" i="31"/>
  <c r="H241" i="31"/>
  <c r="N241" i="31"/>
  <c r="N257" i="31"/>
  <c r="H257" i="31"/>
  <c r="J274" i="31"/>
  <c r="J210" i="31"/>
  <c r="H193" i="31"/>
  <c r="M224" i="31"/>
  <c r="I241" i="31"/>
  <c r="K224" i="31"/>
  <c r="J306" i="31"/>
  <c r="H289" i="31"/>
  <c r="N289" i="31"/>
  <c r="I289" i="31"/>
  <c r="K272" i="31"/>
  <c r="M192" i="31"/>
  <c r="K192" i="31"/>
  <c r="I209" i="31"/>
  <c r="K336" i="31"/>
  <c r="N336" i="31"/>
  <c r="J353" i="31"/>
  <c r="H336" i="31"/>
  <c r="I113" i="31"/>
  <c r="I129" i="31"/>
  <c r="K240" i="31"/>
  <c r="I257" i="31"/>
  <c r="M240" i="31"/>
  <c r="I193" i="31"/>
  <c r="M176" i="31"/>
  <c r="K176" i="31"/>
  <c r="J178" i="31"/>
  <c r="H161" i="31"/>
  <c r="I321" i="31"/>
  <c r="K304" i="31"/>
  <c r="M144" i="31"/>
  <c r="I161" i="31"/>
  <c r="K144" i="31"/>
  <c r="J146" i="31"/>
  <c r="H129" i="31"/>
  <c r="N225" i="31"/>
  <c r="H225" i="31"/>
  <c r="J242" i="31"/>
  <c r="J226" i="31"/>
  <c r="N209" i="31"/>
  <c r="H209" i="31"/>
  <c r="J162" i="31"/>
  <c r="H145" i="31"/>
  <c r="M354" i="31"/>
  <c r="K354" i="31"/>
  <c r="I371" i="31"/>
  <c r="I305" i="31"/>
  <c r="K288" i="31"/>
  <c r="H321" i="31"/>
  <c r="J338" i="31"/>
  <c r="N321" i="31"/>
  <c r="I225" i="31"/>
  <c r="M208" i="31"/>
  <c r="J194" i="31"/>
  <c r="H177" i="31"/>
  <c r="M387" i="31"/>
  <c r="I404" i="31"/>
  <c r="J113" i="31"/>
  <c r="J130" i="31" s="1"/>
  <c r="H112" i="31"/>
  <c r="K112" i="31"/>
  <c r="M112" i="31"/>
  <c r="H226" i="31" l="1"/>
  <c r="J243" i="31"/>
  <c r="N226" i="31"/>
  <c r="I178" i="31"/>
  <c r="M161" i="31"/>
  <c r="K161" i="31"/>
  <c r="M257" i="31"/>
  <c r="I274" i="31"/>
  <c r="K257" i="31"/>
  <c r="I226" i="31"/>
  <c r="K209" i="31"/>
  <c r="M209" i="31"/>
  <c r="J275" i="31"/>
  <c r="N258" i="31"/>
  <c r="H258" i="31"/>
  <c r="N130" i="31"/>
  <c r="J147" i="31"/>
  <c r="H130" i="31"/>
  <c r="K225" i="31"/>
  <c r="M225" i="31"/>
  <c r="I242" i="31"/>
  <c r="J179" i="31"/>
  <c r="H162" i="31"/>
  <c r="J259" i="31"/>
  <c r="N242" i="31"/>
  <c r="H242" i="31"/>
  <c r="K353" i="31"/>
  <c r="J370" i="31"/>
  <c r="H353" i="31"/>
  <c r="N353" i="31"/>
  <c r="I306" i="31"/>
  <c r="K289" i="31"/>
  <c r="J307" i="31"/>
  <c r="N290" i="31"/>
  <c r="H290" i="31"/>
  <c r="M251" i="31"/>
  <c r="M252" i="31"/>
  <c r="N107" i="31"/>
  <c r="N124" i="31"/>
  <c r="N141" i="31"/>
  <c r="N158" i="31"/>
  <c r="M253" i="31"/>
  <c r="M254" i="31"/>
  <c r="P22" i="31"/>
  <c r="N210" i="31" s="1"/>
  <c r="N72" i="31"/>
  <c r="N69" i="31"/>
  <c r="N175" i="31"/>
  <c r="M255" i="31"/>
  <c r="N192" i="31"/>
  <c r="I194" i="31"/>
  <c r="M177" i="31"/>
  <c r="K177" i="31"/>
  <c r="N322" i="31"/>
  <c r="H322" i="31"/>
  <c r="J339" i="31"/>
  <c r="K371" i="31"/>
  <c r="I388" i="31"/>
  <c r="M371" i="31"/>
  <c r="H194" i="31"/>
  <c r="J211" i="31"/>
  <c r="J163" i="31"/>
  <c r="H146" i="31"/>
  <c r="I210" i="31"/>
  <c r="M193" i="31"/>
  <c r="K193" i="31"/>
  <c r="I146" i="31"/>
  <c r="M129" i="31"/>
  <c r="K129" i="31"/>
  <c r="M241" i="31"/>
  <c r="I258" i="31"/>
  <c r="K241" i="31"/>
  <c r="J227" i="31"/>
  <c r="H210" i="31"/>
  <c r="I290" i="31"/>
  <c r="K273" i="31"/>
  <c r="N306" i="31"/>
  <c r="H306" i="31"/>
  <c r="J323" i="31"/>
  <c r="H338" i="31"/>
  <c r="J355" i="31"/>
  <c r="N338" i="31"/>
  <c r="K305" i="31"/>
  <c r="I322" i="31"/>
  <c r="I338" i="31"/>
  <c r="K321" i="31"/>
  <c r="J195" i="31"/>
  <c r="H178" i="31"/>
  <c r="I114" i="31"/>
  <c r="I131" i="31" s="1"/>
  <c r="I130" i="31"/>
  <c r="J291" i="31"/>
  <c r="N274" i="31"/>
  <c r="H274" i="31"/>
  <c r="M145" i="31"/>
  <c r="K145" i="31"/>
  <c r="I162" i="31"/>
  <c r="N371" i="31"/>
  <c r="H371" i="31"/>
  <c r="J388" i="31"/>
  <c r="I421" i="31"/>
  <c r="I438" i="31" s="1"/>
  <c r="M404" i="31"/>
  <c r="J114" i="31"/>
  <c r="J131" i="31" s="1"/>
  <c r="N113" i="31"/>
  <c r="H113" i="31"/>
  <c r="K113" i="31"/>
  <c r="M113" i="31"/>
  <c r="M273" i="31" l="1"/>
  <c r="I291" i="31"/>
  <c r="M274" i="31"/>
  <c r="K274" i="31"/>
  <c r="N388" i="31"/>
  <c r="J405" i="31"/>
  <c r="H388" i="31"/>
  <c r="H291" i="31"/>
  <c r="N291" i="31"/>
  <c r="J308" i="31"/>
  <c r="K338" i="31"/>
  <c r="I355" i="31"/>
  <c r="I307" i="31"/>
  <c r="K290" i="31"/>
  <c r="M210" i="31"/>
  <c r="I227" i="31"/>
  <c r="K227" i="31" s="1"/>
  <c r="K210" i="31"/>
  <c r="J228" i="31"/>
  <c r="H211" i="31"/>
  <c r="K388" i="31"/>
  <c r="M388" i="31"/>
  <c r="I405" i="31"/>
  <c r="J324" i="31"/>
  <c r="H307" i="31"/>
  <c r="N307" i="31"/>
  <c r="I179" i="31"/>
  <c r="M162" i="31"/>
  <c r="K162" i="31"/>
  <c r="J180" i="31"/>
  <c r="H163" i="31"/>
  <c r="I455" i="31"/>
  <c r="M438" i="31"/>
  <c r="I147" i="31"/>
  <c r="M130" i="31"/>
  <c r="K130" i="31"/>
  <c r="J212" i="31"/>
  <c r="H195" i="31"/>
  <c r="K322" i="31"/>
  <c r="I339" i="31"/>
  <c r="H355" i="31"/>
  <c r="J372" i="31"/>
  <c r="N355" i="31"/>
  <c r="K258" i="31"/>
  <c r="M258" i="31"/>
  <c r="I275" i="31"/>
  <c r="M146" i="31"/>
  <c r="I163" i="31"/>
  <c r="K146" i="31"/>
  <c r="M268" i="31"/>
  <c r="M269" i="31"/>
  <c r="N125" i="31"/>
  <c r="N108" i="31"/>
  <c r="N142" i="31"/>
  <c r="N159" i="31"/>
  <c r="M270" i="31"/>
  <c r="M55" i="31"/>
  <c r="M271" i="31"/>
  <c r="P23" i="31"/>
  <c r="N176" i="31"/>
  <c r="N193" i="31"/>
  <c r="M272" i="31"/>
  <c r="J196" i="31"/>
  <c r="H179" i="31"/>
  <c r="I243" i="31"/>
  <c r="K226" i="31"/>
  <c r="M226" i="31"/>
  <c r="J260" i="31"/>
  <c r="H243" i="31"/>
  <c r="N243" i="31"/>
  <c r="N323" i="31"/>
  <c r="H323" i="31"/>
  <c r="J340" i="31"/>
  <c r="H227" i="31"/>
  <c r="J244" i="31"/>
  <c r="N227" i="31"/>
  <c r="K194" i="31"/>
  <c r="M194" i="31"/>
  <c r="I211" i="31"/>
  <c r="I195" i="31"/>
  <c r="M178" i="31"/>
  <c r="K178" i="31"/>
  <c r="H131" i="31"/>
  <c r="N131" i="31"/>
  <c r="J148" i="31"/>
  <c r="I148" i="31"/>
  <c r="M131" i="31"/>
  <c r="K131" i="31"/>
  <c r="J356" i="31"/>
  <c r="H339" i="31"/>
  <c r="N339" i="31"/>
  <c r="I323" i="31"/>
  <c r="K323" i="31" s="1"/>
  <c r="K306" i="31"/>
  <c r="H370" i="31"/>
  <c r="K370" i="31"/>
  <c r="J387" i="31"/>
  <c r="N370" i="31"/>
  <c r="K259" i="31"/>
  <c r="J276" i="31"/>
  <c r="H259" i="31"/>
  <c r="N259" i="31"/>
  <c r="M242" i="31"/>
  <c r="K242" i="31"/>
  <c r="I259" i="31"/>
  <c r="J164" i="31"/>
  <c r="N147" i="31"/>
  <c r="H147" i="31"/>
  <c r="N275" i="31"/>
  <c r="J292" i="31"/>
  <c r="H275" i="31"/>
  <c r="M421" i="31"/>
  <c r="N114" i="31"/>
  <c r="H114" i="31"/>
  <c r="K114" i="31"/>
  <c r="M114" i="31"/>
  <c r="I260" i="31" l="1"/>
  <c r="K243" i="31"/>
  <c r="M243" i="31"/>
  <c r="N372" i="31"/>
  <c r="H372" i="31"/>
  <c r="J389" i="31"/>
  <c r="K405" i="31"/>
  <c r="M405" i="31"/>
  <c r="I422" i="31"/>
  <c r="H292" i="31"/>
  <c r="J309" i="31"/>
  <c r="N292" i="31"/>
  <c r="H164" i="31"/>
  <c r="N164" i="31"/>
  <c r="J181" i="31"/>
  <c r="I165" i="31"/>
  <c r="M148" i="31"/>
  <c r="K148" i="31"/>
  <c r="N260" i="31"/>
  <c r="H260" i="31"/>
  <c r="J277" i="31"/>
  <c r="J197" i="31"/>
  <c r="H180" i="31"/>
  <c r="N228" i="31"/>
  <c r="H228" i="31"/>
  <c r="J245" i="31"/>
  <c r="I228" i="31"/>
  <c r="K211" i="31"/>
  <c r="M211" i="31"/>
  <c r="K275" i="31"/>
  <c r="I292" i="31"/>
  <c r="M275" i="31"/>
  <c r="I196" i="31"/>
  <c r="M179" i="31"/>
  <c r="K179" i="31"/>
  <c r="I372" i="31"/>
  <c r="M355" i="31"/>
  <c r="I276" i="31"/>
  <c r="M259" i="31"/>
  <c r="K387" i="31"/>
  <c r="N387" i="31"/>
  <c r="H387" i="31"/>
  <c r="J404" i="31"/>
  <c r="J373" i="31"/>
  <c r="N356" i="31"/>
  <c r="H356" i="31"/>
  <c r="J165" i="31"/>
  <c r="N148" i="31"/>
  <c r="H148" i="31"/>
  <c r="H196" i="31"/>
  <c r="J213" i="31"/>
  <c r="I180" i="31"/>
  <c r="M163" i="31"/>
  <c r="K163" i="31"/>
  <c r="K355" i="31"/>
  <c r="I472" i="31"/>
  <c r="M455" i="31"/>
  <c r="K307" i="31"/>
  <c r="I324" i="31"/>
  <c r="J261" i="31"/>
  <c r="N244" i="31"/>
  <c r="H244" i="31"/>
  <c r="J293" i="31"/>
  <c r="H276" i="31"/>
  <c r="N276" i="31"/>
  <c r="I340" i="31"/>
  <c r="I212" i="31"/>
  <c r="M195" i="31"/>
  <c r="K195" i="31"/>
  <c r="J357" i="31"/>
  <c r="N340" i="31"/>
  <c r="H340" i="31"/>
  <c r="M285" i="31"/>
  <c r="M286" i="31"/>
  <c r="N126" i="31"/>
  <c r="N109" i="31"/>
  <c r="N143" i="31"/>
  <c r="M287" i="31"/>
  <c r="N160" i="31"/>
  <c r="N177" i="31"/>
  <c r="M78" i="31"/>
  <c r="N33" i="31"/>
  <c r="N50" i="31"/>
  <c r="N52" i="31"/>
  <c r="M288" i="31"/>
  <c r="N55" i="31"/>
  <c r="P24" i="31"/>
  <c r="N35" i="31"/>
  <c r="N39" i="31"/>
  <c r="N37" i="31"/>
  <c r="N53" i="31"/>
  <c r="M84" i="31"/>
  <c r="N194" i="31"/>
  <c r="M289" i="31"/>
  <c r="I356" i="31"/>
  <c r="K339" i="31"/>
  <c r="H212" i="31"/>
  <c r="J229" i="31"/>
  <c r="I164" i="31"/>
  <c r="M147" i="31"/>
  <c r="K147" i="31"/>
  <c r="H324" i="31"/>
  <c r="N324" i="31"/>
  <c r="J341" i="31"/>
  <c r="N211" i="31"/>
  <c r="I244" i="31"/>
  <c r="M227" i="31"/>
  <c r="M290" i="31"/>
  <c r="H308" i="31"/>
  <c r="J325" i="31"/>
  <c r="N308" i="31"/>
  <c r="J422" i="31"/>
  <c r="H405" i="31"/>
  <c r="N405" i="31"/>
  <c r="M291" i="31"/>
  <c r="I308" i="31"/>
  <c r="K291" i="31"/>
  <c r="N115" i="31"/>
  <c r="H115" i="31"/>
  <c r="K115" i="31"/>
  <c r="M115" i="31"/>
  <c r="M302" i="31" l="1"/>
  <c r="M303" i="31"/>
  <c r="N110" i="31"/>
  <c r="N127" i="31"/>
  <c r="N144" i="31"/>
  <c r="M304" i="31"/>
  <c r="N161" i="31"/>
  <c r="M52" i="31"/>
  <c r="N57" i="31"/>
  <c r="P25" i="31"/>
  <c r="M305" i="31"/>
  <c r="N178" i="31"/>
  <c r="M59" i="31"/>
  <c r="M62" i="31"/>
  <c r="M306" i="31"/>
  <c r="N195" i="31"/>
  <c r="I229" i="31"/>
  <c r="K212" i="31"/>
  <c r="M212" i="31"/>
  <c r="H261" i="31"/>
  <c r="N261" i="31"/>
  <c r="J278" i="31"/>
  <c r="N165" i="31"/>
  <c r="J182" i="31"/>
  <c r="H165" i="31"/>
  <c r="K404" i="31"/>
  <c r="N404" i="31"/>
  <c r="H404" i="31"/>
  <c r="J421" i="31"/>
  <c r="I309" i="31"/>
  <c r="M292" i="31"/>
  <c r="K292" i="31"/>
  <c r="I245" i="31"/>
  <c r="K228" i="31"/>
  <c r="M228" i="31"/>
  <c r="I182" i="31"/>
  <c r="M165" i="31"/>
  <c r="K165" i="31"/>
  <c r="M308" i="31"/>
  <c r="I325" i="31"/>
  <c r="K308" i="31"/>
  <c r="J439" i="31"/>
  <c r="H422" i="31"/>
  <c r="N422" i="31"/>
  <c r="N341" i="31"/>
  <c r="J358" i="31"/>
  <c r="H341" i="31"/>
  <c r="N212" i="31"/>
  <c r="N357" i="31"/>
  <c r="H357" i="31"/>
  <c r="J374" i="31"/>
  <c r="I357" i="31"/>
  <c r="K340" i="31"/>
  <c r="H293" i="31"/>
  <c r="N293" i="31"/>
  <c r="J310" i="31"/>
  <c r="M307" i="31"/>
  <c r="M472" i="31"/>
  <c r="I489" i="31"/>
  <c r="I293" i="31"/>
  <c r="K276" i="31"/>
  <c r="M276" i="31"/>
  <c r="J262" i="31"/>
  <c r="N245" i="31"/>
  <c r="H245" i="31"/>
  <c r="J198" i="31"/>
  <c r="H181" i="31"/>
  <c r="N181" i="31"/>
  <c r="J326" i="31"/>
  <c r="H309" i="31"/>
  <c r="N309" i="31"/>
  <c r="I373" i="31"/>
  <c r="K356" i="31"/>
  <c r="M356" i="31"/>
  <c r="I181" i="31"/>
  <c r="M164" i="31"/>
  <c r="K164" i="31"/>
  <c r="M324" i="31"/>
  <c r="K324" i="31"/>
  <c r="I341" i="31"/>
  <c r="I197" i="31"/>
  <c r="M180" i="31"/>
  <c r="K180" i="31"/>
  <c r="M196" i="31"/>
  <c r="K196" i="31"/>
  <c r="I213" i="31"/>
  <c r="J214" i="31"/>
  <c r="H197" i="31"/>
  <c r="H389" i="31"/>
  <c r="J406" i="31"/>
  <c r="N389" i="31"/>
  <c r="J342" i="31"/>
  <c r="H325" i="31"/>
  <c r="N325" i="31"/>
  <c r="M244" i="31"/>
  <c r="I261" i="31"/>
  <c r="K244" i="31"/>
  <c r="H229" i="31"/>
  <c r="N229" i="31"/>
  <c r="J246" i="31"/>
  <c r="H213" i="31"/>
  <c r="N213" i="31"/>
  <c r="J230" i="31"/>
  <c r="H373" i="31"/>
  <c r="J390" i="31"/>
  <c r="N373" i="31"/>
  <c r="I389" i="31"/>
  <c r="M372" i="31"/>
  <c r="K372" i="31"/>
  <c r="J294" i="31"/>
  <c r="H277" i="31"/>
  <c r="N277" i="31"/>
  <c r="I439" i="31"/>
  <c r="M422" i="31"/>
  <c r="K422" i="31"/>
  <c r="I277" i="31"/>
  <c r="K260" i="31"/>
  <c r="M260" i="31"/>
  <c r="K19" i="31"/>
  <c r="E19" i="31"/>
  <c r="M439" i="31" l="1"/>
  <c r="I456" i="31"/>
  <c r="K439" i="31"/>
  <c r="I506" i="31"/>
  <c r="M489" i="31"/>
  <c r="M325" i="31"/>
  <c r="I342" i="31"/>
  <c r="K325" i="31"/>
  <c r="I199" i="31"/>
  <c r="K182" i="31"/>
  <c r="M182" i="31"/>
  <c r="J199" i="31"/>
  <c r="N182" i="31"/>
  <c r="H182" i="31"/>
  <c r="K277" i="31"/>
  <c r="M277" i="31"/>
  <c r="I294" i="31"/>
  <c r="N246" i="31"/>
  <c r="H246" i="31"/>
  <c r="J263" i="31"/>
  <c r="M261" i="31"/>
  <c r="I278" i="31"/>
  <c r="K261" i="31"/>
  <c r="H342" i="31"/>
  <c r="J359" i="31"/>
  <c r="N342" i="31"/>
  <c r="I214" i="31"/>
  <c r="M197" i="31"/>
  <c r="K197" i="31"/>
  <c r="N326" i="31"/>
  <c r="H326" i="31"/>
  <c r="J343" i="31"/>
  <c r="J391" i="31"/>
  <c r="H374" i="31"/>
  <c r="N374" i="31"/>
  <c r="H198" i="31"/>
  <c r="N198" i="31"/>
  <c r="J215" i="31"/>
  <c r="I406" i="31"/>
  <c r="M389" i="31"/>
  <c r="K389" i="31"/>
  <c r="N230" i="31"/>
  <c r="H230" i="31"/>
  <c r="J247" i="31"/>
  <c r="H214" i="31"/>
  <c r="J231" i="31"/>
  <c r="I358" i="31"/>
  <c r="K341" i="31"/>
  <c r="I390" i="31"/>
  <c r="M373" i="31"/>
  <c r="K373" i="31"/>
  <c r="I310" i="31"/>
  <c r="M293" i="31"/>
  <c r="K293" i="31"/>
  <c r="J375" i="31"/>
  <c r="H358" i="31"/>
  <c r="N358" i="31"/>
  <c r="J456" i="31"/>
  <c r="H439" i="31"/>
  <c r="N439" i="31"/>
  <c r="M309" i="31"/>
  <c r="I326" i="31"/>
  <c r="K309" i="31"/>
  <c r="N278" i="31"/>
  <c r="J295" i="31"/>
  <c r="H278" i="31"/>
  <c r="M319" i="31"/>
  <c r="M320" i="31"/>
  <c r="N111" i="31"/>
  <c r="N128" i="31"/>
  <c r="N145" i="31"/>
  <c r="M321" i="31"/>
  <c r="N162" i="31"/>
  <c r="N179" i="31"/>
  <c r="N62" i="31"/>
  <c r="M53" i="31"/>
  <c r="P26" i="31"/>
  <c r="M322" i="31"/>
  <c r="N78" i="31"/>
  <c r="N84" i="31"/>
  <c r="M323" i="31"/>
  <c r="N196" i="31"/>
  <c r="N390" i="31"/>
  <c r="H390" i="31"/>
  <c r="J407" i="31"/>
  <c r="K213" i="31"/>
  <c r="M213" i="31"/>
  <c r="I230" i="31"/>
  <c r="I374" i="31"/>
  <c r="M357" i="31"/>
  <c r="K357" i="31"/>
  <c r="H294" i="31"/>
  <c r="N294" i="31"/>
  <c r="J311" i="31"/>
  <c r="J423" i="31"/>
  <c r="N406" i="31"/>
  <c r="H406" i="31"/>
  <c r="K181" i="31"/>
  <c r="I198" i="31"/>
  <c r="M181" i="31"/>
  <c r="J279" i="31"/>
  <c r="N262" i="31"/>
  <c r="H262" i="31"/>
  <c r="J327" i="31"/>
  <c r="H310" i="31"/>
  <c r="N310" i="31"/>
  <c r="M245" i="31"/>
  <c r="K245" i="31"/>
  <c r="I262" i="31"/>
  <c r="J438" i="31"/>
  <c r="K421" i="31"/>
  <c r="H421" i="31"/>
  <c r="N421" i="31"/>
  <c r="I246" i="31"/>
  <c r="M229" i="31"/>
  <c r="K229" i="31"/>
  <c r="M19" i="31"/>
  <c r="M262" i="31" l="1"/>
  <c r="K262" i="31"/>
  <c r="I279" i="31"/>
  <c r="M336" i="31"/>
  <c r="M337" i="31"/>
  <c r="N129" i="31"/>
  <c r="N112" i="31"/>
  <c r="N146" i="31"/>
  <c r="M338" i="31"/>
  <c r="N163" i="31"/>
  <c r="M339" i="31"/>
  <c r="N63" i="31"/>
  <c r="M63" i="31"/>
  <c r="N180" i="31"/>
  <c r="N87" i="31"/>
  <c r="M340" i="31"/>
  <c r="N197" i="31"/>
  <c r="M390" i="31"/>
  <c r="I407" i="31"/>
  <c r="K390" i="31"/>
  <c r="H231" i="31"/>
  <c r="J248" i="31"/>
  <c r="N231" i="31"/>
  <c r="I423" i="31"/>
  <c r="M406" i="31"/>
  <c r="K406" i="31"/>
  <c r="M214" i="31"/>
  <c r="I231" i="31"/>
  <c r="K214" i="31"/>
  <c r="M506" i="31"/>
  <c r="I523" i="31"/>
  <c r="H327" i="31"/>
  <c r="J344" i="31"/>
  <c r="N327" i="31"/>
  <c r="K230" i="31"/>
  <c r="I247" i="31"/>
  <c r="M230" i="31"/>
  <c r="M310" i="31"/>
  <c r="I327" i="31"/>
  <c r="K310" i="31"/>
  <c r="M341" i="31"/>
  <c r="N214" i="31"/>
  <c r="H215" i="31"/>
  <c r="J232" i="31"/>
  <c r="N215" i="31"/>
  <c r="K278" i="31"/>
  <c r="M278" i="31"/>
  <c r="I295" i="31"/>
  <c r="M198" i="31"/>
  <c r="I215" i="31"/>
  <c r="K198" i="31"/>
  <c r="J440" i="31"/>
  <c r="H423" i="31"/>
  <c r="N423" i="31"/>
  <c r="H375" i="31"/>
  <c r="J392" i="31"/>
  <c r="N375" i="31"/>
  <c r="J408" i="31"/>
  <c r="H391" i="31"/>
  <c r="N391" i="31"/>
  <c r="J376" i="31"/>
  <c r="H359" i="31"/>
  <c r="N359" i="31"/>
  <c r="I311" i="31"/>
  <c r="M294" i="31"/>
  <c r="K294" i="31"/>
  <c r="I216" i="31"/>
  <c r="K199" i="31"/>
  <c r="M199" i="31"/>
  <c r="I473" i="31"/>
  <c r="K456" i="31"/>
  <c r="M456" i="31"/>
  <c r="N279" i="31"/>
  <c r="J296" i="31"/>
  <c r="H279" i="31"/>
  <c r="M374" i="31"/>
  <c r="K374" i="31"/>
  <c r="I391" i="31"/>
  <c r="K391" i="31" s="1"/>
  <c r="N407" i="31"/>
  <c r="H407" i="31"/>
  <c r="J424" i="31"/>
  <c r="J312" i="31"/>
  <c r="H295" i="31"/>
  <c r="N295" i="31"/>
  <c r="K342" i="31"/>
  <c r="M342" i="31"/>
  <c r="I359" i="31"/>
  <c r="I263" i="31"/>
  <c r="K246" i="31"/>
  <c r="M246" i="31"/>
  <c r="J455" i="31"/>
  <c r="N438" i="31"/>
  <c r="H438" i="31"/>
  <c r="K438" i="31"/>
  <c r="N311" i="31"/>
  <c r="H311" i="31"/>
  <c r="J328" i="31"/>
  <c r="I343" i="31"/>
  <c r="M326" i="31"/>
  <c r="K326" i="31"/>
  <c r="H456" i="31"/>
  <c r="J473" i="31"/>
  <c r="N456" i="31"/>
  <c r="M358" i="31"/>
  <c r="K358" i="31"/>
  <c r="I375" i="31"/>
  <c r="N247" i="31"/>
  <c r="J264" i="31"/>
  <c r="H247" i="31"/>
  <c r="N343" i="31"/>
  <c r="J360" i="31"/>
  <c r="H343" i="31"/>
  <c r="J280" i="31"/>
  <c r="N263" i="31"/>
  <c r="H263" i="31"/>
  <c r="J216" i="31"/>
  <c r="N199" i="31"/>
  <c r="H199" i="31"/>
  <c r="N19" i="31"/>
  <c r="M473" i="31" l="1"/>
  <c r="I490" i="31"/>
  <c r="K473" i="31"/>
  <c r="I540" i="31"/>
  <c r="M523" i="31"/>
  <c r="J490" i="31"/>
  <c r="H473" i="31"/>
  <c r="N473" i="31"/>
  <c r="K343" i="31"/>
  <c r="M343" i="31"/>
  <c r="I360" i="31"/>
  <c r="N312" i="31"/>
  <c r="J329" i="31"/>
  <c r="H312" i="31"/>
  <c r="N296" i="31"/>
  <c r="J313" i="31"/>
  <c r="H296" i="31"/>
  <c r="N408" i="31"/>
  <c r="H408" i="31"/>
  <c r="J425" i="31"/>
  <c r="M231" i="31"/>
  <c r="I248" i="31"/>
  <c r="K231" i="31"/>
  <c r="N280" i="31"/>
  <c r="H280" i="31"/>
  <c r="J297" i="31"/>
  <c r="J345" i="31"/>
  <c r="H328" i="31"/>
  <c r="N328" i="31"/>
  <c r="J441" i="31"/>
  <c r="N424" i="31"/>
  <c r="H424" i="31"/>
  <c r="N376" i="31"/>
  <c r="H376" i="31"/>
  <c r="J393" i="31"/>
  <c r="K407" i="31"/>
  <c r="I424" i="31"/>
  <c r="M407" i="31"/>
  <c r="K279" i="31"/>
  <c r="I296" i="31"/>
  <c r="M279" i="31"/>
  <c r="H216" i="31"/>
  <c r="N216" i="31"/>
  <c r="J233" i="31"/>
  <c r="N264" i="31"/>
  <c r="H264" i="31"/>
  <c r="J281" i="31"/>
  <c r="M263" i="31"/>
  <c r="I280" i="31"/>
  <c r="K263" i="31"/>
  <c r="I328" i="31"/>
  <c r="K311" i="31"/>
  <c r="M311" i="31"/>
  <c r="N344" i="31"/>
  <c r="J361" i="31"/>
  <c r="H344" i="31"/>
  <c r="J265" i="31"/>
  <c r="N248" i="31"/>
  <c r="H248" i="31"/>
  <c r="I392" i="31"/>
  <c r="K375" i="31"/>
  <c r="M375" i="31"/>
  <c r="M391" i="31"/>
  <c r="I408" i="31"/>
  <c r="K327" i="31"/>
  <c r="I344" i="31"/>
  <c r="M327" i="31"/>
  <c r="I440" i="31"/>
  <c r="M423" i="31"/>
  <c r="K423" i="31"/>
  <c r="I232" i="31"/>
  <c r="M215" i="31"/>
  <c r="K215" i="31"/>
  <c r="J377" i="31"/>
  <c r="N360" i="31"/>
  <c r="H360" i="31"/>
  <c r="J472" i="31"/>
  <c r="H455" i="31"/>
  <c r="N455" i="31"/>
  <c r="K455" i="31"/>
  <c r="M359" i="31"/>
  <c r="K359" i="31"/>
  <c r="I376" i="31"/>
  <c r="K216" i="31"/>
  <c r="M216" i="31"/>
  <c r="I233" i="31"/>
  <c r="J409" i="31"/>
  <c r="N392" i="31"/>
  <c r="H392" i="31"/>
  <c r="H440" i="31"/>
  <c r="N440" i="31"/>
  <c r="J457" i="31"/>
  <c r="K295" i="31"/>
  <c r="M295" i="31"/>
  <c r="I312" i="31"/>
  <c r="N232" i="31"/>
  <c r="J249" i="31"/>
  <c r="H232" i="31"/>
  <c r="I264" i="31"/>
  <c r="M247" i="31"/>
  <c r="K247" i="31"/>
  <c r="D55" i="31"/>
  <c r="C60" i="31"/>
  <c r="C53" i="31"/>
  <c r="I393" i="31" l="1"/>
  <c r="M376" i="31"/>
  <c r="K376" i="31"/>
  <c r="M328" i="31"/>
  <c r="K328" i="31"/>
  <c r="I345" i="31"/>
  <c r="N281" i="31"/>
  <c r="J298" i="31"/>
  <c r="H281" i="31"/>
  <c r="K393" i="31"/>
  <c r="J410" i="31"/>
  <c r="H393" i="31"/>
  <c r="N393" i="31"/>
  <c r="I250" i="31"/>
  <c r="M233" i="31"/>
  <c r="K233" i="31"/>
  <c r="H377" i="31"/>
  <c r="J394" i="31"/>
  <c r="N377" i="31"/>
  <c r="M344" i="31"/>
  <c r="I361" i="31"/>
  <c r="K344" i="31"/>
  <c r="H441" i="31"/>
  <c r="N441" i="31"/>
  <c r="J458" i="31"/>
  <c r="J314" i="31"/>
  <c r="H297" i="31"/>
  <c r="N297" i="31"/>
  <c r="I265" i="31"/>
  <c r="M248" i="31"/>
  <c r="K248" i="31"/>
  <c r="J507" i="31"/>
  <c r="N490" i="31"/>
  <c r="H490" i="31"/>
  <c r="M264" i="31"/>
  <c r="K264" i="31"/>
  <c r="I281" i="31"/>
  <c r="M312" i="31"/>
  <c r="K312" i="31"/>
  <c r="I329" i="31"/>
  <c r="J426" i="31"/>
  <c r="H409" i="31"/>
  <c r="N409" i="31"/>
  <c r="I249" i="31"/>
  <c r="M232" i="31"/>
  <c r="K232" i="31"/>
  <c r="N361" i="31"/>
  <c r="H361" i="31"/>
  <c r="J378" i="31"/>
  <c r="J362" i="31"/>
  <c r="N345" i="31"/>
  <c r="H345" i="31"/>
  <c r="K360" i="31"/>
  <c r="M360" i="31"/>
  <c r="I377" i="31"/>
  <c r="K249" i="31"/>
  <c r="N249" i="31"/>
  <c r="J266" i="31"/>
  <c r="H249" i="31"/>
  <c r="N472" i="31"/>
  <c r="J489" i="31"/>
  <c r="H472" i="31"/>
  <c r="K472" i="31"/>
  <c r="J282" i="31"/>
  <c r="H265" i="31"/>
  <c r="N265" i="31"/>
  <c r="I297" i="31"/>
  <c r="M280" i="31"/>
  <c r="K280" i="31"/>
  <c r="I441" i="31"/>
  <c r="M424" i="31"/>
  <c r="K424" i="31"/>
  <c r="J346" i="31"/>
  <c r="H329" i="31"/>
  <c r="N329" i="31"/>
  <c r="M490" i="31"/>
  <c r="K490" i="31"/>
  <c r="I507" i="31"/>
  <c r="J474" i="31"/>
  <c r="H457" i="31"/>
  <c r="N457" i="31"/>
  <c r="K440" i="31"/>
  <c r="I457" i="31"/>
  <c r="M440" i="31"/>
  <c r="M408" i="31"/>
  <c r="I425" i="31"/>
  <c r="K408" i="31"/>
  <c r="M392" i="31"/>
  <c r="K392" i="31"/>
  <c r="I409" i="31"/>
  <c r="N233" i="31"/>
  <c r="J250" i="31"/>
  <c r="H233" i="31"/>
  <c r="M296" i="31"/>
  <c r="K296" i="31"/>
  <c r="I313" i="31"/>
  <c r="J442" i="31"/>
  <c r="N425" i="31"/>
  <c r="H425" i="31"/>
  <c r="J330" i="31"/>
  <c r="H313" i="31"/>
  <c r="N313" i="31"/>
  <c r="I557" i="31"/>
  <c r="M540" i="31"/>
  <c r="D59" i="31"/>
  <c r="D53" i="31"/>
  <c r="F37" i="31"/>
  <c r="F39" i="31"/>
  <c r="F57" i="31"/>
  <c r="E52" i="31"/>
  <c r="E59" i="31"/>
  <c r="C55" i="31"/>
  <c r="C37" i="31"/>
  <c r="C59" i="31"/>
  <c r="E55" i="31"/>
  <c r="E50" i="31"/>
  <c r="C39" i="31"/>
  <c r="E53" i="31"/>
  <c r="D35" i="31"/>
  <c r="C52" i="31"/>
  <c r="C19" i="31"/>
  <c r="E60" i="31"/>
  <c r="C35" i="31"/>
  <c r="E33" i="31"/>
  <c r="C57" i="31"/>
  <c r="E57" i="31"/>
  <c r="C33" i="31"/>
  <c r="C50" i="31"/>
  <c r="I330" i="31" l="1"/>
  <c r="K313" i="31"/>
  <c r="M313" i="31"/>
  <c r="N282" i="31"/>
  <c r="H282" i="31"/>
  <c r="J299" i="31"/>
  <c r="M249" i="31"/>
  <c r="I266" i="31"/>
  <c r="M329" i="31"/>
  <c r="I346" i="31"/>
  <c r="K329" i="31"/>
  <c r="N507" i="31"/>
  <c r="J524" i="31"/>
  <c r="H507" i="31"/>
  <c r="J315" i="31"/>
  <c r="H298" i="31"/>
  <c r="N298" i="31"/>
  <c r="I574" i="31"/>
  <c r="M557" i="31"/>
  <c r="I474" i="31"/>
  <c r="M457" i="31"/>
  <c r="K457" i="31"/>
  <c r="J491" i="31"/>
  <c r="H474" i="31"/>
  <c r="N474" i="31"/>
  <c r="M297" i="31"/>
  <c r="I314" i="31"/>
  <c r="K297" i="31"/>
  <c r="I394" i="31"/>
  <c r="M377" i="31"/>
  <c r="K377" i="31"/>
  <c r="J427" i="31"/>
  <c r="N410" i="31"/>
  <c r="H410" i="31"/>
  <c r="M409" i="31"/>
  <c r="K409" i="31"/>
  <c r="I426" i="31"/>
  <c r="I442" i="31"/>
  <c r="M425" i="31"/>
  <c r="K425" i="31"/>
  <c r="M507" i="31"/>
  <c r="I524" i="31"/>
  <c r="K507" i="31"/>
  <c r="M441" i="31"/>
  <c r="K441" i="31"/>
  <c r="I458" i="31"/>
  <c r="J283" i="31"/>
  <c r="H266" i="31"/>
  <c r="N266" i="31"/>
  <c r="J379" i="31"/>
  <c r="H362" i="31"/>
  <c r="N362" i="31"/>
  <c r="J331" i="31"/>
  <c r="N314" i="31"/>
  <c r="H314" i="31"/>
  <c r="N394" i="31"/>
  <c r="H394" i="31"/>
  <c r="J411" i="31"/>
  <c r="K250" i="31"/>
  <c r="I267" i="31"/>
  <c r="M250" i="31"/>
  <c r="I362" i="31"/>
  <c r="M345" i="31"/>
  <c r="K345" i="31"/>
  <c r="H330" i="31"/>
  <c r="J347" i="31"/>
  <c r="N330" i="31"/>
  <c r="J267" i="31"/>
  <c r="N250" i="31"/>
  <c r="H250" i="31"/>
  <c r="N442" i="31"/>
  <c r="H442" i="31"/>
  <c r="J459" i="31"/>
  <c r="J363" i="31"/>
  <c r="H346" i="31"/>
  <c r="N346" i="31"/>
  <c r="N489" i="31"/>
  <c r="H489" i="31"/>
  <c r="J506" i="31"/>
  <c r="K489" i="31"/>
  <c r="J395" i="31"/>
  <c r="N378" i="31"/>
  <c r="H378" i="31"/>
  <c r="J443" i="31"/>
  <c r="N426" i="31"/>
  <c r="H426" i="31"/>
  <c r="I298" i="31"/>
  <c r="K281" i="31"/>
  <c r="M281" i="31"/>
  <c r="I282" i="31"/>
  <c r="M265" i="31"/>
  <c r="K265" i="31"/>
  <c r="J475" i="31"/>
  <c r="N458" i="31"/>
  <c r="H458" i="31"/>
  <c r="M361" i="31"/>
  <c r="K361" i="31"/>
  <c r="I378" i="31"/>
  <c r="M393" i="31"/>
  <c r="I410" i="31"/>
  <c r="D57" i="31"/>
  <c r="D37" i="31"/>
  <c r="C38" i="31" s="1"/>
  <c r="C36" i="31"/>
  <c r="D36" i="31"/>
  <c r="E36" i="31"/>
  <c r="F36" i="31"/>
  <c r="D33" i="31"/>
  <c r="D34" i="31" s="1"/>
  <c r="D19" i="31"/>
  <c r="F20" i="31" s="1"/>
  <c r="H283" i="31" l="1"/>
  <c r="N283" i="31"/>
  <c r="J300" i="31"/>
  <c r="H491" i="31"/>
  <c r="J508" i="31"/>
  <c r="N491" i="31"/>
  <c r="K378" i="31"/>
  <c r="M378" i="31"/>
  <c r="I395" i="31"/>
  <c r="K282" i="31"/>
  <c r="M282" i="31"/>
  <c r="I299" i="31"/>
  <c r="N347" i="31"/>
  <c r="H347" i="31"/>
  <c r="J364" i="31"/>
  <c r="I379" i="31"/>
  <c r="K362" i="31"/>
  <c r="M362" i="31"/>
  <c r="H411" i="31"/>
  <c r="J428" i="31"/>
  <c r="N411" i="31"/>
  <c r="H379" i="31"/>
  <c r="J396" i="31"/>
  <c r="N379" i="31"/>
  <c r="I475" i="31"/>
  <c r="M458" i="31"/>
  <c r="K458" i="31"/>
  <c r="I541" i="31"/>
  <c r="M524" i="31"/>
  <c r="K524" i="31"/>
  <c r="M442" i="31"/>
  <c r="K442" i="31"/>
  <c r="I459" i="31"/>
  <c r="I591" i="31"/>
  <c r="M574" i="31"/>
  <c r="N315" i="31"/>
  <c r="J332" i="31"/>
  <c r="H315" i="31"/>
  <c r="J492" i="31"/>
  <c r="N475" i="31"/>
  <c r="H475" i="31"/>
  <c r="J412" i="31"/>
  <c r="H395" i="31"/>
  <c r="N395" i="31"/>
  <c r="N459" i="31"/>
  <c r="J476" i="31"/>
  <c r="H459" i="31"/>
  <c r="H331" i="31"/>
  <c r="J348" i="31"/>
  <c r="N331" i="31"/>
  <c r="I443" i="31"/>
  <c r="M426" i="31"/>
  <c r="K426" i="31"/>
  <c r="K394" i="31"/>
  <c r="I411" i="31"/>
  <c r="M394" i="31"/>
  <c r="M346" i="31"/>
  <c r="I363" i="31"/>
  <c r="K346" i="31"/>
  <c r="J316" i="31"/>
  <c r="H299" i="31"/>
  <c r="N299" i="31"/>
  <c r="K298" i="31"/>
  <c r="I315" i="31"/>
  <c r="M298" i="31"/>
  <c r="N506" i="31"/>
  <c r="J523" i="31"/>
  <c r="H506" i="31"/>
  <c r="K506" i="31"/>
  <c r="I331" i="31"/>
  <c r="M314" i="31"/>
  <c r="K314" i="31"/>
  <c r="M266" i="31"/>
  <c r="K266" i="31"/>
  <c r="I283" i="31"/>
  <c r="J380" i="31"/>
  <c r="N363" i="31"/>
  <c r="H363" i="31"/>
  <c r="M410" i="31"/>
  <c r="I427" i="31"/>
  <c r="K410" i="31"/>
  <c r="J460" i="31"/>
  <c r="N443" i="31"/>
  <c r="H443" i="31"/>
  <c r="H267" i="31"/>
  <c r="N267" i="31"/>
  <c r="J284" i="31"/>
  <c r="K267" i="31"/>
  <c r="M267" i="31"/>
  <c r="I284" i="31"/>
  <c r="J444" i="31"/>
  <c r="N427" i="31"/>
  <c r="H427" i="31"/>
  <c r="M474" i="31"/>
  <c r="I491" i="31"/>
  <c r="K474" i="31"/>
  <c r="J541" i="31"/>
  <c r="H524" i="31"/>
  <c r="N524" i="31"/>
  <c r="I347" i="31"/>
  <c r="M330" i="31"/>
  <c r="K330" i="31"/>
  <c r="F38" i="31"/>
  <c r="C40" i="31"/>
  <c r="F40" i="31"/>
  <c r="E40" i="31"/>
  <c r="D40" i="31"/>
  <c r="E38" i="31"/>
  <c r="D38" i="31"/>
  <c r="E34" i="31"/>
  <c r="C34" i="31"/>
  <c r="F34" i="31"/>
  <c r="C20" i="31"/>
  <c r="E20" i="31"/>
  <c r="D20" i="31"/>
  <c r="J461" i="31" l="1"/>
  <c r="H444" i="31"/>
  <c r="N444" i="31"/>
  <c r="H523" i="31"/>
  <c r="N523" i="31"/>
  <c r="J540" i="31"/>
  <c r="K523" i="31"/>
  <c r="K443" i="31"/>
  <c r="I460" i="31"/>
  <c r="M443" i="31"/>
  <c r="N492" i="31"/>
  <c r="J509" i="31"/>
  <c r="H492" i="31"/>
  <c r="I396" i="31"/>
  <c r="M379" i="31"/>
  <c r="K379" i="31"/>
  <c r="M299" i="31"/>
  <c r="I316" i="31"/>
  <c r="K299" i="31"/>
  <c r="M284" i="31"/>
  <c r="I301" i="31"/>
  <c r="K284" i="31"/>
  <c r="H460" i="31"/>
  <c r="J477" i="31"/>
  <c r="N460" i="31"/>
  <c r="I348" i="31"/>
  <c r="M331" i="31"/>
  <c r="K331" i="31"/>
  <c r="I380" i="31"/>
  <c r="M363" i="31"/>
  <c r="K363" i="31"/>
  <c r="J493" i="31"/>
  <c r="H476" i="31"/>
  <c r="N476" i="31"/>
  <c r="N412" i="31"/>
  <c r="J429" i="31"/>
  <c r="H412" i="31"/>
  <c r="H396" i="31"/>
  <c r="N396" i="31"/>
  <c r="J413" i="31"/>
  <c r="H364" i="31"/>
  <c r="J381" i="31"/>
  <c r="N364" i="31"/>
  <c r="H300" i="31"/>
  <c r="N300" i="31"/>
  <c r="J317" i="31"/>
  <c r="M411" i="31"/>
  <c r="K411" i="31"/>
  <c r="I428" i="31"/>
  <c r="J445" i="31"/>
  <c r="N428" i="31"/>
  <c r="H428" i="31"/>
  <c r="N541" i="31"/>
  <c r="J558" i="31"/>
  <c r="H541" i="31"/>
  <c r="N348" i="31"/>
  <c r="J365" i="31"/>
  <c r="H348" i="31"/>
  <c r="N332" i="31"/>
  <c r="H332" i="31"/>
  <c r="J349" i="31"/>
  <c r="M591" i="31"/>
  <c r="I608" i="31"/>
  <c r="M491" i="31"/>
  <c r="I508" i="31"/>
  <c r="K491" i="31"/>
  <c r="H284" i="31"/>
  <c r="J301" i="31"/>
  <c r="N284" i="31"/>
  <c r="I300" i="31"/>
  <c r="K300" i="31" s="1"/>
  <c r="M283" i="31"/>
  <c r="K283" i="31"/>
  <c r="K541" i="31"/>
  <c r="M541" i="31"/>
  <c r="I558" i="31"/>
  <c r="I364" i="31"/>
  <c r="M347" i="31"/>
  <c r="K347" i="31"/>
  <c r="I444" i="31"/>
  <c r="M427" i="31"/>
  <c r="K427" i="31"/>
  <c r="J397" i="31"/>
  <c r="N380" i="31"/>
  <c r="H380" i="31"/>
  <c r="M315" i="31"/>
  <c r="I332" i="31"/>
  <c r="K315" i="31"/>
  <c r="J333" i="31"/>
  <c r="N316" i="31"/>
  <c r="H316" i="31"/>
  <c r="K459" i="31"/>
  <c r="I476" i="31"/>
  <c r="M459" i="31"/>
  <c r="K475" i="31"/>
  <c r="I492" i="31"/>
  <c r="M475" i="31"/>
  <c r="I412" i="31"/>
  <c r="M395" i="31"/>
  <c r="K395" i="31"/>
  <c r="H508" i="31"/>
  <c r="N508" i="31"/>
  <c r="J525" i="31"/>
  <c r="I625" i="31" l="1"/>
  <c r="M608" i="31"/>
  <c r="J446" i="31"/>
  <c r="H429" i="31"/>
  <c r="N429" i="31"/>
  <c r="H509" i="31"/>
  <c r="N509" i="31"/>
  <c r="J526" i="31"/>
  <c r="M412" i="31"/>
  <c r="I429" i="31"/>
  <c r="K412" i="31"/>
  <c r="M508" i="31"/>
  <c r="I525" i="31"/>
  <c r="K508" i="31"/>
  <c r="H558" i="31"/>
  <c r="N558" i="31"/>
  <c r="J575" i="31"/>
  <c r="J462" i="31"/>
  <c r="N445" i="31"/>
  <c r="H445" i="31"/>
  <c r="J334" i="31"/>
  <c r="N317" i="31"/>
  <c r="H317" i="31"/>
  <c r="N397" i="31"/>
  <c r="J414" i="31"/>
  <c r="H397" i="31"/>
  <c r="H413" i="31"/>
  <c r="N413" i="31"/>
  <c r="J430" i="31"/>
  <c r="N493" i="31"/>
  <c r="H493" i="31"/>
  <c r="J510" i="31"/>
  <c r="H477" i="31"/>
  <c r="J494" i="31"/>
  <c r="N477" i="31"/>
  <c r="M476" i="31"/>
  <c r="I493" i="31"/>
  <c r="K476" i="31"/>
  <c r="J350" i="31"/>
  <c r="H333" i="31"/>
  <c r="N333" i="31"/>
  <c r="K364" i="31"/>
  <c r="M364" i="31"/>
  <c r="I381" i="31"/>
  <c r="H301" i="31"/>
  <c r="N301" i="31"/>
  <c r="J318" i="31"/>
  <c r="N349" i="31"/>
  <c r="J366" i="31"/>
  <c r="H349" i="31"/>
  <c r="H365" i="31"/>
  <c r="N365" i="31"/>
  <c r="J382" i="31"/>
  <c r="I445" i="31"/>
  <c r="K428" i="31"/>
  <c r="M428" i="31"/>
  <c r="N381" i="31"/>
  <c r="J398" i="31"/>
  <c r="H381" i="31"/>
  <c r="M348" i="31"/>
  <c r="I365" i="31"/>
  <c r="K348" i="31"/>
  <c r="I333" i="31"/>
  <c r="K333" i="31" s="1"/>
  <c r="K316" i="31"/>
  <c r="M316" i="31"/>
  <c r="K396" i="31"/>
  <c r="I413" i="31"/>
  <c r="M396" i="31"/>
  <c r="H540" i="31"/>
  <c r="J557" i="31"/>
  <c r="N540" i="31"/>
  <c r="K540" i="31"/>
  <c r="N525" i="31"/>
  <c r="J542" i="31"/>
  <c r="H525" i="31"/>
  <c r="I349" i="31"/>
  <c r="M332" i="31"/>
  <c r="K332" i="31"/>
  <c r="I317" i="31"/>
  <c r="M300" i="31"/>
  <c r="M492" i="31"/>
  <c r="K492" i="31"/>
  <c r="I509" i="31"/>
  <c r="I461" i="31"/>
  <c r="M444" i="31"/>
  <c r="K444" i="31"/>
  <c r="M558" i="31"/>
  <c r="I575" i="31"/>
  <c r="K558" i="31"/>
  <c r="I397" i="31"/>
  <c r="M380" i="31"/>
  <c r="K380" i="31"/>
  <c r="K301" i="31"/>
  <c r="I318" i="31"/>
  <c r="M301" i="31"/>
  <c r="K460" i="31"/>
  <c r="I477" i="31"/>
  <c r="M460" i="31"/>
  <c r="H461" i="31"/>
  <c r="N461" i="31"/>
  <c r="J478" i="31"/>
  <c r="N478" i="31" l="1"/>
  <c r="J495" i="31"/>
  <c r="H478" i="31"/>
  <c r="I494" i="31"/>
  <c r="M477" i="31"/>
  <c r="K477" i="31"/>
  <c r="I382" i="31"/>
  <c r="M365" i="31"/>
  <c r="J399" i="31"/>
  <c r="H382" i="31"/>
  <c r="N382" i="31"/>
  <c r="J463" i="31"/>
  <c r="N446" i="31"/>
  <c r="H446" i="31"/>
  <c r="I592" i="31"/>
  <c r="M575" i="31"/>
  <c r="K575" i="31"/>
  <c r="M461" i="31"/>
  <c r="K461" i="31"/>
  <c r="I478" i="31"/>
  <c r="I366" i="31"/>
  <c r="M349" i="31"/>
  <c r="K349" i="31"/>
  <c r="N366" i="31"/>
  <c r="J383" i="31"/>
  <c r="H366" i="31"/>
  <c r="J511" i="31"/>
  <c r="H494" i="31"/>
  <c r="N494" i="31"/>
  <c r="J479" i="31"/>
  <c r="H462" i="31"/>
  <c r="N462" i="31"/>
  <c r="I446" i="31"/>
  <c r="M429" i="31"/>
  <c r="K429" i="31"/>
  <c r="M509" i="31"/>
  <c r="I526" i="31"/>
  <c r="K509" i="31"/>
  <c r="M317" i="31"/>
  <c r="I334" i="31"/>
  <c r="K334" i="31" s="1"/>
  <c r="K317" i="31"/>
  <c r="M413" i="31"/>
  <c r="I430" i="31"/>
  <c r="K413" i="31"/>
  <c r="I350" i="31"/>
  <c r="M333" i="31"/>
  <c r="M381" i="31"/>
  <c r="I398" i="31"/>
  <c r="K381" i="31"/>
  <c r="K493" i="31"/>
  <c r="I510" i="31"/>
  <c r="M493" i="31"/>
  <c r="J447" i="31"/>
  <c r="N430" i="31"/>
  <c r="H430" i="31"/>
  <c r="H414" i="31"/>
  <c r="N414" i="31"/>
  <c r="J431" i="31"/>
  <c r="N334" i="31"/>
  <c r="H334" i="31"/>
  <c r="J351" i="31"/>
  <c r="J592" i="31"/>
  <c r="H575" i="31"/>
  <c r="N575" i="31"/>
  <c r="I542" i="31"/>
  <c r="K525" i="31"/>
  <c r="M525" i="31"/>
  <c r="M318" i="31"/>
  <c r="K318" i="31"/>
  <c r="I335" i="31"/>
  <c r="I414" i="31"/>
  <c r="K397" i="31"/>
  <c r="M397" i="31"/>
  <c r="J559" i="31"/>
  <c r="N542" i="31"/>
  <c r="H542" i="31"/>
  <c r="N557" i="31"/>
  <c r="H557" i="31"/>
  <c r="J574" i="31"/>
  <c r="K557" i="31"/>
  <c r="J415" i="31"/>
  <c r="N398" i="31"/>
  <c r="H398" i="31"/>
  <c r="K445" i="31"/>
  <c r="M445" i="31"/>
  <c r="I462" i="31"/>
  <c r="K365" i="31"/>
  <c r="J335" i="31"/>
  <c r="N318" i="31"/>
  <c r="H318" i="31"/>
  <c r="J367" i="31"/>
  <c r="H350" i="31"/>
  <c r="N350" i="31"/>
  <c r="H510" i="31"/>
  <c r="J527" i="31"/>
  <c r="N510" i="31"/>
  <c r="J543" i="31"/>
  <c r="N526" i="31"/>
  <c r="H526" i="31"/>
  <c r="M625" i="31"/>
  <c r="I642" i="31"/>
  <c r="H527" i="31" l="1"/>
  <c r="N527" i="31"/>
  <c r="J544" i="31"/>
  <c r="N367" i="31"/>
  <c r="H367" i="31"/>
  <c r="J384" i="31"/>
  <c r="H574" i="31"/>
  <c r="N574" i="31"/>
  <c r="J591" i="31"/>
  <c r="K574" i="31"/>
  <c r="I495" i="31"/>
  <c r="M478" i="31"/>
  <c r="K478" i="31"/>
  <c r="I479" i="31"/>
  <c r="M462" i="31"/>
  <c r="K462" i="31"/>
  <c r="H559" i="31"/>
  <c r="N559" i="31"/>
  <c r="J576" i="31"/>
  <c r="M335" i="31"/>
  <c r="K335" i="31"/>
  <c r="I352" i="31"/>
  <c r="N592" i="31"/>
  <c r="J609" i="31"/>
  <c r="H592" i="31"/>
  <c r="M510" i="31"/>
  <c r="K510" i="31"/>
  <c r="I527" i="31"/>
  <c r="I447" i="31"/>
  <c r="K430" i="31"/>
  <c r="M430" i="31"/>
  <c r="J528" i="31"/>
  <c r="N511" i="31"/>
  <c r="H511" i="31"/>
  <c r="I609" i="31"/>
  <c r="K592" i="31"/>
  <c r="M592" i="31"/>
  <c r="K382" i="31"/>
  <c r="M382" i="31"/>
  <c r="I399" i="31"/>
  <c r="K399" i="31" s="1"/>
  <c r="J352" i="31"/>
  <c r="H335" i="31"/>
  <c r="N335" i="31"/>
  <c r="J464" i="31"/>
  <c r="N447" i="31"/>
  <c r="H447" i="31"/>
  <c r="I431" i="31"/>
  <c r="M414" i="31"/>
  <c r="K414" i="31"/>
  <c r="I415" i="31"/>
  <c r="M398" i="31"/>
  <c r="K398" i="31"/>
  <c r="M334" i="31"/>
  <c r="I351" i="31"/>
  <c r="J480" i="31"/>
  <c r="N463" i="31"/>
  <c r="H463" i="31"/>
  <c r="I511" i="31"/>
  <c r="K494" i="31"/>
  <c r="M494" i="31"/>
  <c r="I659" i="31"/>
  <c r="M642" i="31"/>
  <c r="J560" i="31"/>
  <c r="H543" i="31"/>
  <c r="N543" i="31"/>
  <c r="J432" i="31"/>
  <c r="H415" i="31"/>
  <c r="N415" i="31"/>
  <c r="M542" i="31"/>
  <c r="K542" i="31"/>
  <c r="I559" i="31"/>
  <c r="N351" i="31"/>
  <c r="H351" i="31"/>
  <c r="J368" i="31"/>
  <c r="J448" i="31"/>
  <c r="H431" i="31"/>
  <c r="N431" i="31"/>
  <c r="N479" i="31"/>
  <c r="J496" i="31"/>
  <c r="H479" i="31"/>
  <c r="J512" i="31"/>
  <c r="H495" i="31"/>
  <c r="N495" i="31"/>
  <c r="I367" i="31"/>
  <c r="M350" i="31"/>
  <c r="K350" i="31"/>
  <c r="M526" i="31"/>
  <c r="I543" i="31"/>
  <c r="K526" i="31"/>
  <c r="K446" i="31"/>
  <c r="M446" i="31"/>
  <c r="I463" i="31"/>
  <c r="J400" i="31"/>
  <c r="N383" i="31"/>
  <c r="H383" i="31"/>
  <c r="K366" i="31"/>
  <c r="I383" i="31"/>
  <c r="M366" i="31"/>
  <c r="J416" i="31"/>
  <c r="H399" i="31"/>
  <c r="N399" i="31"/>
  <c r="J433" i="31" l="1"/>
  <c r="N416" i="31"/>
  <c r="H416" i="31"/>
  <c r="I480" i="31"/>
  <c r="M463" i="31"/>
  <c r="K463" i="31"/>
  <c r="K543" i="31"/>
  <c r="M543" i="31"/>
  <c r="I560" i="31"/>
  <c r="J513" i="31"/>
  <c r="H496" i="31"/>
  <c r="N496" i="31"/>
  <c r="H448" i="31"/>
  <c r="J465" i="31"/>
  <c r="N448" i="31"/>
  <c r="I576" i="31"/>
  <c r="M559" i="31"/>
  <c r="K559" i="31"/>
  <c r="H560" i="31"/>
  <c r="N560" i="31"/>
  <c r="J577" i="31"/>
  <c r="H464" i="31"/>
  <c r="J481" i="31"/>
  <c r="N464" i="31"/>
  <c r="M399" i="31"/>
  <c r="I416" i="31"/>
  <c r="H528" i="31"/>
  <c r="N528" i="31"/>
  <c r="J545" i="31"/>
  <c r="M527" i="31"/>
  <c r="I544" i="31"/>
  <c r="K527" i="31"/>
  <c r="H609" i="31"/>
  <c r="J626" i="31"/>
  <c r="N609" i="31"/>
  <c r="H368" i="31"/>
  <c r="J385" i="31"/>
  <c r="N368" i="31"/>
  <c r="H432" i="31"/>
  <c r="J449" i="31"/>
  <c r="N432" i="31"/>
  <c r="H480" i="31"/>
  <c r="N480" i="31"/>
  <c r="J497" i="31"/>
  <c r="I448" i="31"/>
  <c r="K431" i="31"/>
  <c r="M431" i="31"/>
  <c r="I626" i="31"/>
  <c r="K609" i="31"/>
  <c r="M609" i="31"/>
  <c r="H576" i="31"/>
  <c r="J593" i="31"/>
  <c r="N576" i="31"/>
  <c r="I512" i="31"/>
  <c r="K495" i="31"/>
  <c r="M495" i="31"/>
  <c r="J561" i="31"/>
  <c r="H544" i="31"/>
  <c r="N544" i="31"/>
  <c r="M383" i="31"/>
  <c r="K383" i="31"/>
  <c r="I400" i="31"/>
  <c r="N400" i="31"/>
  <c r="H400" i="31"/>
  <c r="J417" i="31"/>
  <c r="H512" i="31"/>
  <c r="N512" i="31"/>
  <c r="J529" i="31"/>
  <c r="I676" i="31"/>
  <c r="M659" i="31"/>
  <c r="M511" i="31"/>
  <c r="I528" i="31"/>
  <c r="K511" i="31"/>
  <c r="I368" i="31"/>
  <c r="M351" i="31"/>
  <c r="K351" i="31"/>
  <c r="I432" i="31"/>
  <c r="M415" i="31"/>
  <c r="K415" i="31"/>
  <c r="I369" i="31"/>
  <c r="M352" i="31"/>
  <c r="K352" i="31"/>
  <c r="M479" i="31"/>
  <c r="I496" i="31"/>
  <c r="K479" i="31"/>
  <c r="J401" i="31"/>
  <c r="H384" i="31"/>
  <c r="N384" i="31"/>
  <c r="M367" i="31"/>
  <c r="I384" i="31"/>
  <c r="K367" i="31"/>
  <c r="H352" i="31"/>
  <c r="J369" i="31"/>
  <c r="N352" i="31"/>
  <c r="K447" i="31"/>
  <c r="I464" i="31"/>
  <c r="M447" i="31"/>
  <c r="H591" i="31"/>
  <c r="J608" i="31"/>
  <c r="N591" i="31"/>
  <c r="K591" i="31"/>
  <c r="I513" i="31" l="1"/>
  <c r="M496" i="31"/>
  <c r="K496" i="31"/>
  <c r="K528" i="31"/>
  <c r="M528" i="31"/>
  <c r="I545" i="31"/>
  <c r="J625" i="31"/>
  <c r="H608" i="31"/>
  <c r="N608" i="31"/>
  <c r="K608" i="31"/>
  <c r="J546" i="31"/>
  <c r="H529" i="31"/>
  <c r="N529" i="31"/>
  <c r="N593" i="31"/>
  <c r="J610" i="31"/>
  <c r="H593" i="31"/>
  <c r="H497" i="31"/>
  <c r="J514" i="31"/>
  <c r="N497" i="31"/>
  <c r="M480" i="31"/>
  <c r="I497" i="31"/>
  <c r="K480" i="31"/>
  <c r="M384" i="31"/>
  <c r="I401" i="31"/>
  <c r="K384" i="31"/>
  <c r="H401" i="31"/>
  <c r="J418" i="31"/>
  <c r="N401" i="31"/>
  <c r="I385" i="31"/>
  <c r="M368" i="31"/>
  <c r="K368" i="31"/>
  <c r="K544" i="31"/>
  <c r="I561" i="31"/>
  <c r="M544" i="31"/>
  <c r="J498" i="31"/>
  <c r="N481" i="31"/>
  <c r="H481" i="31"/>
  <c r="M464" i="31"/>
  <c r="I481" i="31"/>
  <c r="K464" i="31"/>
  <c r="I386" i="31"/>
  <c r="K369" i="31"/>
  <c r="M369" i="31"/>
  <c r="J578" i="31"/>
  <c r="H561" i="31"/>
  <c r="N561" i="31"/>
  <c r="K626" i="31"/>
  <c r="I643" i="31"/>
  <c r="M626" i="31"/>
  <c r="J466" i="31"/>
  <c r="H449" i="31"/>
  <c r="N449" i="31"/>
  <c r="I593" i="31"/>
  <c r="M576" i="31"/>
  <c r="K576" i="31"/>
  <c r="J386" i="31"/>
  <c r="N369" i="31"/>
  <c r="H369" i="31"/>
  <c r="K432" i="31"/>
  <c r="I449" i="31"/>
  <c r="M432" i="31"/>
  <c r="I693" i="31"/>
  <c r="M676" i="31"/>
  <c r="I417" i="31"/>
  <c r="M400" i="31"/>
  <c r="K400" i="31"/>
  <c r="I529" i="31"/>
  <c r="K512" i="31"/>
  <c r="M512" i="31"/>
  <c r="N626" i="31"/>
  <c r="J643" i="31"/>
  <c r="H626" i="31"/>
  <c r="I433" i="31"/>
  <c r="M416" i="31"/>
  <c r="K416" i="31"/>
  <c r="N465" i="31"/>
  <c r="J482" i="31"/>
  <c r="H465" i="31"/>
  <c r="H513" i="31"/>
  <c r="J530" i="31"/>
  <c r="N513" i="31"/>
  <c r="J434" i="31"/>
  <c r="H417" i="31"/>
  <c r="N417" i="31"/>
  <c r="K448" i="31"/>
  <c r="M448" i="31"/>
  <c r="I465" i="31"/>
  <c r="H385" i="31"/>
  <c r="J402" i="31"/>
  <c r="N385" i="31"/>
  <c r="N545" i="31"/>
  <c r="J562" i="31"/>
  <c r="H545" i="31"/>
  <c r="N577" i="31"/>
  <c r="H577" i="31"/>
  <c r="J594" i="31"/>
  <c r="I577" i="31"/>
  <c r="M560" i="31"/>
  <c r="K560" i="31"/>
  <c r="N433" i="31"/>
  <c r="H433" i="31"/>
  <c r="J450" i="31"/>
  <c r="I594" i="31" l="1"/>
  <c r="M577" i="31"/>
  <c r="K577" i="31"/>
  <c r="N402" i="31"/>
  <c r="H402" i="31"/>
  <c r="J419" i="31"/>
  <c r="N594" i="31"/>
  <c r="J611" i="31"/>
  <c r="H594" i="31"/>
  <c r="J579" i="31"/>
  <c r="N562" i="31"/>
  <c r="H562" i="31"/>
  <c r="N530" i="31"/>
  <c r="H530" i="31"/>
  <c r="J547" i="31"/>
  <c r="I434" i="31"/>
  <c r="K417" i="31"/>
  <c r="M417" i="31"/>
  <c r="I610" i="31"/>
  <c r="K593" i="31"/>
  <c r="M593" i="31"/>
  <c r="M386" i="31"/>
  <c r="K386" i="31"/>
  <c r="I403" i="31"/>
  <c r="M465" i="31"/>
  <c r="I482" i="31"/>
  <c r="K465" i="31"/>
  <c r="J660" i="31"/>
  <c r="H643" i="31"/>
  <c r="N643" i="31"/>
  <c r="M529" i="31"/>
  <c r="K529" i="31"/>
  <c r="I546" i="31"/>
  <c r="K449" i="31"/>
  <c r="I466" i="31"/>
  <c r="M449" i="31"/>
  <c r="H386" i="31"/>
  <c r="N386" i="31"/>
  <c r="J403" i="31"/>
  <c r="K643" i="31"/>
  <c r="M643" i="31"/>
  <c r="I660" i="31"/>
  <c r="N578" i="31"/>
  <c r="J595" i="31"/>
  <c r="H578" i="31"/>
  <c r="K401" i="31"/>
  <c r="I418" i="31"/>
  <c r="M401" i="31"/>
  <c r="J467" i="31"/>
  <c r="N450" i="31"/>
  <c r="H450" i="31"/>
  <c r="N434" i="31"/>
  <c r="J451" i="31"/>
  <c r="H434" i="31"/>
  <c r="M693" i="31"/>
  <c r="I710" i="31"/>
  <c r="K481" i="31"/>
  <c r="M481" i="31"/>
  <c r="I498" i="31"/>
  <c r="N498" i="31"/>
  <c r="H498" i="31"/>
  <c r="J515" i="31"/>
  <c r="K418" i="31"/>
  <c r="J435" i="31"/>
  <c r="N418" i="31"/>
  <c r="H418" i="31"/>
  <c r="N610" i="31"/>
  <c r="J627" i="31"/>
  <c r="H610" i="31"/>
  <c r="J563" i="31"/>
  <c r="H546" i="31"/>
  <c r="N546" i="31"/>
  <c r="H625" i="31"/>
  <c r="J642" i="31"/>
  <c r="N625" i="31"/>
  <c r="K625" i="31"/>
  <c r="H482" i="31"/>
  <c r="J499" i="31"/>
  <c r="N482" i="31"/>
  <c r="M433" i="31"/>
  <c r="K433" i="31"/>
  <c r="I450" i="31"/>
  <c r="N466" i="31"/>
  <c r="J483" i="31"/>
  <c r="H466" i="31"/>
  <c r="N514" i="31"/>
  <c r="H514" i="31"/>
  <c r="J531" i="31"/>
  <c r="M545" i="31"/>
  <c r="K545" i="31"/>
  <c r="I562" i="31"/>
  <c r="K561" i="31"/>
  <c r="M561" i="31"/>
  <c r="I578" i="31"/>
  <c r="M385" i="31"/>
  <c r="K385" i="31"/>
  <c r="I402" i="31"/>
  <c r="K497" i="31"/>
  <c r="I514" i="31"/>
  <c r="M497" i="31"/>
  <c r="K513" i="31"/>
  <c r="M513" i="31"/>
  <c r="I530" i="31"/>
  <c r="J452" i="31" l="1"/>
  <c r="H435" i="31"/>
  <c r="N435" i="31"/>
  <c r="I727" i="31"/>
  <c r="M710" i="31"/>
  <c r="H660" i="31"/>
  <c r="N660" i="31"/>
  <c r="J677" i="31"/>
  <c r="M403" i="31"/>
  <c r="I420" i="31"/>
  <c r="K403" i="31"/>
  <c r="K434" i="31"/>
  <c r="M434" i="31"/>
  <c r="I451" i="31"/>
  <c r="I595" i="31"/>
  <c r="K578" i="31"/>
  <c r="M578" i="31"/>
  <c r="M450" i="31"/>
  <c r="I467" i="31"/>
  <c r="K450" i="31"/>
  <c r="N499" i="31"/>
  <c r="J516" i="31"/>
  <c r="H499" i="31"/>
  <c r="H642" i="31"/>
  <c r="N642" i="31"/>
  <c r="J659" i="31"/>
  <c r="K642" i="31"/>
  <c r="J580" i="31"/>
  <c r="H563" i="31"/>
  <c r="N563" i="31"/>
  <c r="H515" i="31"/>
  <c r="J532" i="31"/>
  <c r="N515" i="31"/>
  <c r="I435" i="31"/>
  <c r="M418" i="31"/>
  <c r="N403" i="31"/>
  <c r="J420" i="31"/>
  <c r="H403" i="31"/>
  <c r="M466" i="31"/>
  <c r="I483" i="31"/>
  <c r="K466" i="31"/>
  <c r="I627" i="31"/>
  <c r="M610" i="31"/>
  <c r="K610" i="31"/>
  <c r="H547" i="31"/>
  <c r="N547" i="31"/>
  <c r="J564" i="31"/>
  <c r="J548" i="31"/>
  <c r="H531" i="31"/>
  <c r="N531" i="31"/>
  <c r="H483" i="31"/>
  <c r="J500" i="31"/>
  <c r="N483" i="31"/>
  <c r="H627" i="31"/>
  <c r="N627" i="31"/>
  <c r="J644" i="31"/>
  <c r="M530" i="31"/>
  <c r="K530" i="31"/>
  <c r="I547" i="31"/>
  <c r="I531" i="31"/>
  <c r="M514" i="31"/>
  <c r="K514" i="31"/>
  <c r="M562" i="31"/>
  <c r="I579" i="31"/>
  <c r="K562" i="31"/>
  <c r="M498" i="31"/>
  <c r="K498" i="31"/>
  <c r="I515" i="31"/>
  <c r="J612" i="31"/>
  <c r="N595" i="31"/>
  <c r="H595" i="31"/>
  <c r="N611" i="31"/>
  <c r="J628" i="31"/>
  <c r="H611" i="31"/>
  <c r="K402" i="31"/>
  <c r="I419" i="31"/>
  <c r="M402" i="31"/>
  <c r="I677" i="31"/>
  <c r="K660" i="31"/>
  <c r="M660" i="31"/>
  <c r="I499" i="31"/>
  <c r="M482" i="31"/>
  <c r="K482" i="31"/>
  <c r="N579" i="31"/>
  <c r="H579" i="31"/>
  <c r="J596" i="31"/>
  <c r="J436" i="31"/>
  <c r="H419" i="31"/>
  <c r="N419" i="31"/>
  <c r="H451" i="31"/>
  <c r="N451" i="31"/>
  <c r="J468" i="31"/>
  <c r="N467" i="31"/>
  <c r="J484" i="31"/>
  <c r="H467" i="31"/>
  <c r="K546" i="31"/>
  <c r="I563" i="31"/>
  <c r="M546" i="31"/>
  <c r="M594" i="31"/>
  <c r="K594" i="31"/>
  <c r="I611" i="31"/>
  <c r="M563" i="31" l="1"/>
  <c r="I580" i="31"/>
  <c r="K563" i="31"/>
  <c r="H468" i="31"/>
  <c r="N468" i="31"/>
  <c r="J485" i="31"/>
  <c r="K515" i="31"/>
  <c r="M515" i="31"/>
  <c r="I532" i="31"/>
  <c r="I596" i="31"/>
  <c r="M579" i="31"/>
  <c r="K579" i="31"/>
  <c r="H644" i="31"/>
  <c r="N644" i="31"/>
  <c r="J661" i="31"/>
  <c r="J517" i="31"/>
  <c r="H500" i="31"/>
  <c r="N500" i="31"/>
  <c r="N548" i="31"/>
  <c r="H548" i="31"/>
  <c r="J565" i="31"/>
  <c r="J453" i="31"/>
  <c r="H436" i="31"/>
  <c r="N436" i="31"/>
  <c r="K547" i="31"/>
  <c r="I564" i="31"/>
  <c r="M547" i="31"/>
  <c r="N564" i="31"/>
  <c r="H564" i="31"/>
  <c r="J581" i="31"/>
  <c r="M467" i="31"/>
  <c r="K467" i="31"/>
  <c r="I484" i="31"/>
  <c r="M595" i="31"/>
  <c r="I612" i="31"/>
  <c r="K595" i="31"/>
  <c r="M727" i="31"/>
  <c r="I744" i="31"/>
  <c r="H484" i="31"/>
  <c r="N484" i="31"/>
  <c r="J501" i="31"/>
  <c r="H596" i="31"/>
  <c r="N596" i="31"/>
  <c r="J613" i="31"/>
  <c r="M677" i="31"/>
  <c r="I694" i="31"/>
  <c r="K677" i="31"/>
  <c r="M627" i="31"/>
  <c r="I644" i="31"/>
  <c r="K627" i="31"/>
  <c r="M435" i="31"/>
  <c r="I452" i="31"/>
  <c r="K435" i="31"/>
  <c r="H659" i="31"/>
  <c r="N659" i="31"/>
  <c r="J676" i="31"/>
  <c r="K659" i="31"/>
  <c r="J533" i="31"/>
  <c r="N516" i="31"/>
  <c r="H516" i="31"/>
  <c r="M451" i="31"/>
  <c r="K451" i="31"/>
  <c r="I468" i="31"/>
  <c r="I437" i="31"/>
  <c r="K420" i="31"/>
  <c r="M420" i="31"/>
  <c r="M611" i="31"/>
  <c r="I628" i="31"/>
  <c r="K611" i="31"/>
  <c r="M499" i="31"/>
  <c r="K499" i="31"/>
  <c r="I516" i="31"/>
  <c r="H628" i="31"/>
  <c r="N628" i="31"/>
  <c r="J645" i="31"/>
  <c r="H612" i="31"/>
  <c r="N612" i="31"/>
  <c r="J629" i="31"/>
  <c r="J437" i="31"/>
  <c r="N420" i="31"/>
  <c r="H420" i="31"/>
  <c r="I436" i="31"/>
  <c r="M419" i="31"/>
  <c r="K419" i="31"/>
  <c r="I548" i="31"/>
  <c r="M531" i="31"/>
  <c r="K531" i="31"/>
  <c r="K483" i="31"/>
  <c r="I500" i="31"/>
  <c r="M483" i="31"/>
  <c r="H532" i="31"/>
  <c r="N532" i="31"/>
  <c r="J549" i="31"/>
  <c r="H580" i="31"/>
  <c r="J597" i="31"/>
  <c r="N580" i="31"/>
  <c r="N677" i="31"/>
  <c r="H677" i="31"/>
  <c r="J694" i="31"/>
  <c r="H452" i="31"/>
  <c r="N452" i="31"/>
  <c r="J469" i="31"/>
  <c r="J614" i="31" l="1"/>
  <c r="H597" i="31"/>
  <c r="N597" i="31"/>
  <c r="N645" i="31"/>
  <c r="J662" i="31"/>
  <c r="H645" i="31"/>
  <c r="N469" i="31"/>
  <c r="J486" i="31"/>
  <c r="H469" i="31"/>
  <c r="M436" i="31"/>
  <c r="I453" i="31"/>
  <c r="K436" i="31"/>
  <c r="J646" i="31"/>
  <c r="H629" i="31"/>
  <c r="N629" i="31"/>
  <c r="J550" i="31"/>
  <c r="H533" i="31"/>
  <c r="N533" i="31"/>
  <c r="M694" i="31"/>
  <c r="K694" i="31"/>
  <c r="I711" i="31"/>
  <c r="M612" i="31"/>
  <c r="K612" i="31"/>
  <c r="I629" i="31"/>
  <c r="N661" i="31"/>
  <c r="H661" i="31"/>
  <c r="J678" i="31"/>
  <c r="J711" i="31"/>
  <c r="N694" i="31"/>
  <c r="H694" i="31"/>
  <c r="H437" i="31"/>
  <c r="J454" i="31"/>
  <c r="N437" i="31"/>
  <c r="I485" i="31"/>
  <c r="K468" i="31"/>
  <c r="M468" i="31"/>
  <c r="H517" i="31"/>
  <c r="N517" i="31"/>
  <c r="J534" i="31"/>
  <c r="N549" i="31"/>
  <c r="J566" i="31"/>
  <c r="H549" i="31"/>
  <c r="I517" i="31"/>
  <c r="M500" i="31"/>
  <c r="K500" i="31"/>
  <c r="K548" i="31"/>
  <c r="I565" i="31"/>
  <c r="M548" i="31"/>
  <c r="M644" i="31"/>
  <c r="I661" i="31"/>
  <c r="K644" i="31"/>
  <c r="J518" i="31"/>
  <c r="N501" i="31"/>
  <c r="H501" i="31"/>
  <c r="M744" i="31"/>
  <c r="I761" i="31"/>
  <c r="N581" i="31"/>
  <c r="J598" i="31"/>
  <c r="H581" i="31"/>
  <c r="K564" i="31"/>
  <c r="M564" i="31"/>
  <c r="I581" i="31"/>
  <c r="N453" i="31"/>
  <c r="H453" i="31"/>
  <c r="J470" i="31"/>
  <c r="M596" i="31"/>
  <c r="I613" i="31"/>
  <c r="K596" i="31"/>
  <c r="H485" i="31"/>
  <c r="J502" i="31"/>
  <c r="N485" i="31"/>
  <c r="K580" i="31"/>
  <c r="I597" i="31"/>
  <c r="M580" i="31"/>
  <c r="M516" i="31"/>
  <c r="I533" i="31"/>
  <c r="K516" i="31"/>
  <c r="I645" i="31"/>
  <c r="K628" i="31"/>
  <c r="M628" i="31"/>
  <c r="M437" i="31"/>
  <c r="K437" i="31"/>
  <c r="I454" i="31"/>
  <c r="H676" i="31"/>
  <c r="N676" i="31"/>
  <c r="J693" i="31"/>
  <c r="K676" i="31"/>
  <c r="K452" i="31"/>
  <c r="M452" i="31"/>
  <c r="I469" i="31"/>
  <c r="H613" i="31"/>
  <c r="J630" i="31"/>
  <c r="N613" i="31"/>
  <c r="M484" i="31"/>
  <c r="K484" i="31"/>
  <c r="I501" i="31"/>
  <c r="H565" i="31"/>
  <c r="N565" i="31"/>
  <c r="J582" i="31"/>
  <c r="K532" i="31"/>
  <c r="I549" i="31"/>
  <c r="M532" i="31"/>
  <c r="H582" i="31" l="1"/>
  <c r="N582" i="31"/>
  <c r="J599" i="31"/>
  <c r="K454" i="31"/>
  <c r="M454" i="31"/>
  <c r="I471" i="31"/>
  <c r="K613" i="31"/>
  <c r="I630" i="31"/>
  <c r="M613" i="31"/>
  <c r="I778" i="31"/>
  <c r="M761" i="31"/>
  <c r="J471" i="31"/>
  <c r="H454" i="31"/>
  <c r="N454" i="31"/>
  <c r="N550" i="31"/>
  <c r="H550" i="31"/>
  <c r="J567" i="31"/>
  <c r="N486" i="31"/>
  <c r="J503" i="31"/>
  <c r="H486" i="31"/>
  <c r="I486" i="31"/>
  <c r="M469" i="31"/>
  <c r="K469" i="31"/>
  <c r="H693" i="31"/>
  <c r="N693" i="31"/>
  <c r="J710" i="31"/>
  <c r="K693" i="31"/>
  <c r="M645" i="31"/>
  <c r="I662" i="31"/>
  <c r="K645" i="31"/>
  <c r="J519" i="31"/>
  <c r="H502" i="31"/>
  <c r="N502" i="31"/>
  <c r="K581" i="31"/>
  <c r="M581" i="31"/>
  <c r="I598" i="31"/>
  <c r="J615" i="31"/>
  <c r="N598" i="31"/>
  <c r="H598" i="31"/>
  <c r="M565" i="31"/>
  <c r="I582" i="31"/>
  <c r="K565" i="31"/>
  <c r="M517" i="31"/>
  <c r="I534" i="31"/>
  <c r="K517" i="31"/>
  <c r="H534" i="31"/>
  <c r="J551" i="31"/>
  <c r="N534" i="31"/>
  <c r="N678" i="31"/>
  <c r="J695" i="31"/>
  <c r="H678" i="31"/>
  <c r="M453" i="31"/>
  <c r="K453" i="31"/>
  <c r="I470" i="31"/>
  <c r="H518" i="31"/>
  <c r="N518" i="31"/>
  <c r="J535" i="31"/>
  <c r="K629" i="31"/>
  <c r="M629" i="31"/>
  <c r="I646" i="31"/>
  <c r="I566" i="31"/>
  <c r="M549" i="31"/>
  <c r="K549" i="31"/>
  <c r="I614" i="31"/>
  <c r="K597" i="31"/>
  <c r="M597" i="31"/>
  <c r="H470" i="31"/>
  <c r="N470" i="31"/>
  <c r="J487" i="31"/>
  <c r="K661" i="31"/>
  <c r="I678" i="31"/>
  <c r="M661" i="31"/>
  <c r="K485" i="31"/>
  <c r="M485" i="31"/>
  <c r="I502" i="31"/>
  <c r="N711" i="31"/>
  <c r="H711" i="31"/>
  <c r="J728" i="31"/>
  <c r="I518" i="31"/>
  <c r="M501" i="31"/>
  <c r="K501" i="31"/>
  <c r="J647" i="31"/>
  <c r="N630" i="31"/>
  <c r="H630" i="31"/>
  <c r="M533" i="31"/>
  <c r="I550" i="31"/>
  <c r="K533" i="31"/>
  <c r="J583" i="31"/>
  <c r="N566" i="31"/>
  <c r="H566" i="31"/>
  <c r="K711" i="31"/>
  <c r="M711" i="31"/>
  <c r="I728" i="31"/>
  <c r="H646" i="31"/>
  <c r="J663" i="31"/>
  <c r="N646" i="31"/>
  <c r="N662" i="31"/>
  <c r="J679" i="31"/>
  <c r="H662" i="31"/>
  <c r="H614" i="31"/>
  <c r="J631" i="31"/>
  <c r="N614" i="31"/>
  <c r="H663" i="31" l="1"/>
  <c r="N663" i="31"/>
  <c r="J680" i="31"/>
  <c r="M678" i="31"/>
  <c r="K678" i="31"/>
  <c r="I695" i="31"/>
  <c r="J536" i="31"/>
  <c r="H519" i="31"/>
  <c r="N519" i="31"/>
  <c r="H503" i="31"/>
  <c r="N503" i="31"/>
  <c r="J520" i="31"/>
  <c r="N679" i="31"/>
  <c r="H679" i="31"/>
  <c r="J696" i="31"/>
  <c r="I567" i="31"/>
  <c r="M550" i="31"/>
  <c r="K550" i="31"/>
  <c r="H647" i="31"/>
  <c r="J664" i="31"/>
  <c r="N647" i="31"/>
  <c r="J745" i="31"/>
  <c r="H728" i="31"/>
  <c r="N728" i="31"/>
  <c r="K470" i="31"/>
  <c r="M470" i="31"/>
  <c r="I487" i="31"/>
  <c r="J712" i="31"/>
  <c r="H695" i="31"/>
  <c r="N695" i="31"/>
  <c r="J727" i="31"/>
  <c r="H710" i="31"/>
  <c r="N710" i="31"/>
  <c r="K710" i="31"/>
  <c r="N599" i="31"/>
  <c r="H599" i="31"/>
  <c r="J616" i="31"/>
  <c r="M502" i="31"/>
  <c r="I519" i="31"/>
  <c r="K502" i="31"/>
  <c r="N551" i="31"/>
  <c r="H551" i="31"/>
  <c r="J568" i="31"/>
  <c r="K630" i="31"/>
  <c r="M630" i="31"/>
  <c r="I647" i="31"/>
  <c r="H631" i="31"/>
  <c r="N631" i="31"/>
  <c r="J648" i="31"/>
  <c r="M728" i="31"/>
  <c r="K728" i="31"/>
  <c r="I745" i="31"/>
  <c r="N487" i="31"/>
  <c r="J504" i="31"/>
  <c r="H487" i="31"/>
  <c r="M566" i="31"/>
  <c r="I583" i="31"/>
  <c r="K566" i="31"/>
  <c r="N535" i="31"/>
  <c r="J552" i="31"/>
  <c r="H535" i="31"/>
  <c r="M582" i="31"/>
  <c r="K582" i="31"/>
  <c r="I599" i="31"/>
  <c r="N615" i="31"/>
  <c r="H615" i="31"/>
  <c r="J632" i="31"/>
  <c r="M662" i="31"/>
  <c r="I679" i="31"/>
  <c r="K662" i="31"/>
  <c r="I503" i="31"/>
  <c r="M486" i="31"/>
  <c r="K486" i="31"/>
  <c r="J584" i="31"/>
  <c r="H567" i="31"/>
  <c r="N567" i="31"/>
  <c r="M778" i="31"/>
  <c r="I795" i="31"/>
  <c r="K471" i="31"/>
  <c r="I488" i="31"/>
  <c r="M471" i="31"/>
  <c r="I535" i="31"/>
  <c r="K518" i="31"/>
  <c r="M518" i="31"/>
  <c r="N583" i="31"/>
  <c r="H583" i="31"/>
  <c r="J600" i="31"/>
  <c r="M614" i="31"/>
  <c r="I631" i="31"/>
  <c r="K614" i="31"/>
  <c r="I663" i="31"/>
  <c r="M646" i="31"/>
  <c r="K646" i="31"/>
  <c r="M534" i="31"/>
  <c r="K534" i="31"/>
  <c r="I551" i="31"/>
  <c r="K598" i="31"/>
  <c r="I615" i="31"/>
  <c r="M598" i="31"/>
  <c r="H471" i="31"/>
  <c r="N471" i="31"/>
  <c r="J488" i="31"/>
  <c r="K663" i="31" l="1"/>
  <c r="M663" i="31"/>
  <c r="I680" i="31"/>
  <c r="H712" i="31"/>
  <c r="N712" i="31"/>
  <c r="J729" i="31"/>
  <c r="N520" i="31"/>
  <c r="H520" i="31"/>
  <c r="J537" i="31"/>
  <c r="H488" i="31"/>
  <c r="N488" i="31"/>
  <c r="J505" i="31"/>
  <c r="M615" i="31"/>
  <c r="I632" i="31"/>
  <c r="K615" i="31"/>
  <c r="M535" i="31"/>
  <c r="I552" i="31"/>
  <c r="K535" i="31"/>
  <c r="I812" i="31"/>
  <c r="M795" i="31"/>
  <c r="I520" i="31"/>
  <c r="M503" i="31"/>
  <c r="K503" i="31"/>
  <c r="N632" i="31"/>
  <c r="H632" i="31"/>
  <c r="J649" i="31"/>
  <c r="N568" i="31"/>
  <c r="H568" i="31"/>
  <c r="J585" i="31"/>
  <c r="M519" i="31"/>
  <c r="I536" i="31"/>
  <c r="K519" i="31"/>
  <c r="N727" i="31"/>
  <c r="H727" i="31"/>
  <c r="J744" i="31"/>
  <c r="K727" i="31"/>
  <c r="K487" i="31"/>
  <c r="I504" i="31"/>
  <c r="M487" i="31"/>
  <c r="H696" i="31"/>
  <c r="J713" i="31"/>
  <c r="N696" i="31"/>
  <c r="N536" i="31"/>
  <c r="H536" i="31"/>
  <c r="J553" i="31"/>
  <c r="J697" i="31"/>
  <c r="H680" i="31"/>
  <c r="N680" i="31"/>
  <c r="H600" i="31"/>
  <c r="J617" i="31"/>
  <c r="N600" i="31"/>
  <c r="H552" i="31"/>
  <c r="N552" i="31"/>
  <c r="J569" i="31"/>
  <c r="I584" i="31"/>
  <c r="K567" i="31"/>
  <c r="M567" i="31"/>
  <c r="M631" i="31"/>
  <c r="K631" i="31"/>
  <c r="I648" i="31"/>
  <c r="N584" i="31"/>
  <c r="J601" i="31"/>
  <c r="H584" i="31"/>
  <c r="J521" i="31"/>
  <c r="H504" i="31"/>
  <c r="N504" i="31"/>
  <c r="K647" i="31"/>
  <c r="I664" i="31"/>
  <c r="M647" i="31"/>
  <c r="H745" i="31"/>
  <c r="N745" i="31"/>
  <c r="J762" i="31"/>
  <c r="M695" i="31"/>
  <c r="I712" i="31"/>
  <c r="K695" i="31"/>
  <c r="I616" i="31"/>
  <c r="K599" i="31"/>
  <c r="M599" i="31"/>
  <c r="M745" i="31"/>
  <c r="I762" i="31"/>
  <c r="K745" i="31"/>
  <c r="H664" i="31"/>
  <c r="N664" i="31"/>
  <c r="J681" i="31"/>
  <c r="M551" i="31"/>
  <c r="K551" i="31"/>
  <c r="I568" i="31"/>
  <c r="I505" i="31"/>
  <c r="M488" i="31"/>
  <c r="K488" i="31"/>
  <c r="I696" i="31"/>
  <c r="K679" i="31"/>
  <c r="M679" i="31"/>
  <c r="I600" i="31"/>
  <c r="K583" i="31"/>
  <c r="M583" i="31"/>
  <c r="N648" i="31"/>
  <c r="H648" i="31"/>
  <c r="J665" i="31"/>
  <c r="H616" i="31"/>
  <c r="J633" i="31"/>
  <c r="N616" i="31"/>
  <c r="H665" i="31" l="1"/>
  <c r="J682" i="31"/>
  <c r="N665" i="31"/>
  <c r="M696" i="31"/>
  <c r="I713" i="31"/>
  <c r="K696" i="31"/>
  <c r="J761" i="31"/>
  <c r="N744" i="31"/>
  <c r="H744" i="31"/>
  <c r="K744" i="31"/>
  <c r="M812" i="31"/>
  <c r="I829" i="31"/>
  <c r="I617" i="31"/>
  <c r="K600" i="31"/>
  <c r="M600" i="31"/>
  <c r="M712" i="31"/>
  <c r="I729" i="31"/>
  <c r="K712" i="31"/>
  <c r="J618" i="31"/>
  <c r="H601" i="31"/>
  <c r="N601" i="31"/>
  <c r="J586" i="31"/>
  <c r="H569" i="31"/>
  <c r="N569" i="31"/>
  <c r="H617" i="31"/>
  <c r="J634" i="31"/>
  <c r="N617" i="31"/>
  <c r="H697" i="31"/>
  <c r="J714" i="31"/>
  <c r="N697" i="31"/>
  <c r="M504" i="31"/>
  <c r="K504" i="31"/>
  <c r="I521" i="31"/>
  <c r="N649" i="31"/>
  <c r="H649" i="31"/>
  <c r="J666" i="31"/>
  <c r="I697" i="31"/>
  <c r="M680" i="31"/>
  <c r="K680" i="31"/>
  <c r="K584" i="31"/>
  <c r="M584" i="31"/>
  <c r="I601" i="31"/>
  <c r="M536" i="31"/>
  <c r="K536" i="31"/>
  <c r="I553" i="31"/>
  <c r="J570" i="31"/>
  <c r="H553" i="31"/>
  <c r="N553" i="31"/>
  <c r="N713" i="31"/>
  <c r="J730" i="31"/>
  <c r="H713" i="31"/>
  <c r="H585" i="31"/>
  <c r="N585" i="31"/>
  <c r="J602" i="31"/>
  <c r="I537" i="31"/>
  <c r="K520" i="31"/>
  <c r="M520" i="31"/>
  <c r="K632" i="31"/>
  <c r="I649" i="31"/>
  <c r="M632" i="31"/>
  <c r="J746" i="31"/>
  <c r="N729" i="31"/>
  <c r="H729" i="31"/>
  <c r="I585" i="31"/>
  <c r="K568" i="31"/>
  <c r="M568" i="31"/>
  <c r="J522" i="31"/>
  <c r="N505" i="31"/>
  <c r="H505" i="31"/>
  <c r="H633" i="31"/>
  <c r="N633" i="31"/>
  <c r="J650" i="31"/>
  <c r="M505" i="31"/>
  <c r="I522" i="31"/>
  <c r="K505" i="31"/>
  <c r="J698" i="31"/>
  <c r="N681" i="31"/>
  <c r="H681" i="31"/>
  <c r="I779" i="31"/>
  <c r="M762" i="31"/>
  <c r="K762" i="31"/>
  <c r="M616" i="31"/>
  <c r="K616" i="31"/>
  <c r="I633" i="31"/>
  <c r="J779" i="31"/>
  <c r="N762" i="31"/>
  <c r="H762" i="31"/>
  <c r="K664" i="31"/>
  <c r="I681" i="31"/>
  <c r="M664" i="31"/>
  <c r="J538" i="31"/>
  <c r="H521" i="31"/>
  <c r="N521" i="31"/>
  <c r="K648" i="31"/>
  <c r="M648" i="31"/>
  <c r="I665" i="31"/>
  <c r="K552" i="31"/>
  <c r="M552" i="31"/>
  <c r="I569" i="31"/>
  <c r="J554" i="31"/>
  <c r="H537" i="31"/>
  <c r="N537" i="31"/>
  <c r="M537" i="31" l="1"/>
  <c r="K537" i="31"/>
  <c r="I554" i="31"/>
  <c r="H618" i="31"/>
  <c r="J635" i="31"/>
  <c r="N618" i="31"/>
  <c r="I539" i="31"/>
  <c r="M522" i="31"/>
  <c r="K522" i="31"/>
  <c r="H602" i="31"/>
  <c r="N602" i="31"/>
  <c r="J619" i="31"/>
  <c r="N730" i="31"/>
  <c r="H730" i="31"/>
  <c r="J747" i="31"/>
  <c r="H570" i="31"/>
  <c r="N570" i="31"/>
  <c r="J587" i="31"/>
  <c r="I618" i="31"/>
  <c r="K601" i="31"/>
  <c r="M601" i="31"/>
  <c r="H634" i="31"/>
  <c r="J651" i="31"/>
  <c r="N634" i="31"/>
  <c r="N586" i="31"/>
  <c r="H586" i="31"/>
  <c r="J603" i="31"/>
  <c r="J778" i="31"/>
  <c r="H761" i="31"/>
  <c r="N761" i="31"/>
  <c r="K761" i="31"/>
  <c r="H538" i="31"/>
  <c r="J555" i="31"/>
  <c r="N538" i="31"/>
  <c r="I796" i="31"/>
  <c r="M779" i="31"/>
  <c r="K779" i="31"/>
  <c r="H522" i="31"/>
  <c r="N522" i="31"/>
  <c r="J539" i="31"/>
  <c r="M681" i="31"/>
  <c r="K681" i="31"/>
  <c r="I698" i="31"/>
  <c r="N779" i="31"/>
  <c r="J796" i="31"/>
  <c r="H779" i="31"/>
  <c r="J763" i="31"/>
  <c r="N746" i="31"/>
  <c r="H746" i="31"/>
  <c r="I570" i="31"/>
  <c r="M553" i="31"/>
  <c r="K553" i="31"/>
  <c r="M697" i="31"/>
  <c r="I714" i="31"/>
  <c r="K697" i="31"/>
  <c r="K521" i="31"/>
  <c r="I538" i="31"/>
  <c r="M521" i="31"/>
  <c r="H714" i="31"/>
  <c r="J731" i="31"/>
  <c r="N714" i="31"/>
  <c r="K729" i="31"/>
  <c r="M729" i="31"/>
  <c r="I746" i="31"/>
  <c r="K617" i="31"/>
  <c r="M617" i="31"/>
  <c r="I634" i="31"/>
  <c r="H682" i="31"/>
  <c r="N682" i="31"/>
  <c r="J699" i="31"/>
  <c r="K569" i="31"/>
  <c r="M569" i="31"/>
  <c r="I586" i="31"/>
  <c r="I666" i="31"/>
  <c r="M649" i="31"/>
  <c r="K649" i="31"/>
  <c r="H554" i="31"/>
  <c r="N554" i="31"/>
  <c r="J571" i="31"/>
  <c r="M665" i="31"/>
  <c r="I682" i="31"/>
  <c r="K665" i="31"/>
  <c r="K633" i="31"/>
  <c r="M633" i="31"/>
  <c r="I650" i="31"/>
  <c r="N698" i="31"/>
  <c r="H698" i="31"/>
  <c r="J715" i="31"/>
  <c r="H650" i="31"/>
  <c r="J667" i="31"/>
  <c r="N650" i="31"/>
  <c r="I602" i="31"/>
  <c r="K585" i="31"/>
  <c r="M585" i="31"/>
  <c r="N666" i="31"/>
  <c r="J683" i="31"/>
  <c r="H666" i="31"/>
  <c r="M829" i="31"/>
  <c r="I846" i="31"/>
  <c r="I730" i="31"/>
  <c r="M713" i="31"/>
  <c r="K713" i="31"/>
  <c r="M602" i="31" l="1"/>
  <c r="I619" i="31"/>
  <c r="K602" i="31"/>
  <c r="N731" i="31"/>
  <c r="J748" i="31"/>
  <c r="H731" i="31"/>
  <c r="M846" i="31"/>
  <c r="I863" i="31"/>
  <c r="J588" i="31"/>
  <c r="H571" i="31"/>
  <c r="N571" i="31"/>
  <c r="M634" i="31"/>
  <c r="K634" i="31"/>
  <c r="I651" i="31"/>
  <c r="J780" i="31"/>
  <c r="H763" i="31"/>
  <c r="N763" i="31"/>
  <c r="K698" i="31"/>
  <c r="M698" i="31"/>
  <c r="I715" i="31"/>
  <c r="I813" i="31"/>
  <c r="M796" i="31"/>
  <c r="K796" i="31"/>
  <c r="N603" i="31"/>
  <c r="J620" i="31"/>
  <c r="H603" i="31"/>
  <c r="J668" i="31"/>
  <c r="H651" i="31"/>
  <c r="N651" i="31"/>
  <c r="K618" i="31"/>
  <c r="M618" i="31"/>
  <c r="I635" i="31"/>
  <c r="H747" i="31"/>
  <c r="J764" i="31"/>
  <c r="N747" i="31"/>
  <c r="M539" i="31"/>
  <c r="K539" i="31"/>
  <c r="I556" i="31"/>
  <c r="K554" i="31"/>
  <c r="I571" i="31"/>
  <c r="M554" i="31"/>
  <c r="J732" i="31"/>
  <c r="N715" i="31"/>
  <c r="H715" i="31"/>
  <c r="I763" i="31"/>
  <c r="M746" i="31"/>
  <c r="K746" i="31"/>
  <c r="J556" i="31"/>
  <c r="H539" i="31"/>
  <c r="N539" i="31"/>
  <c r="N778" i="31"/>
  <c r="J795" i="31"/>
  <c r="H778" i="31"/>
  <c r="K778" i="31"/>
  <c r="H667" i="31"/>
  <c r="J684" i="31"/>
  <c r="N667" i="31"/>
  <c r="I683" i="31"/>
  <c r="K666" i="31"/>
  <c r="M666" i="31"/>
  <c r="N699" i="31"/>
  <c r="H699" i="31"/>
  <c r="J716" i="31"/>
  <c r="I731" i="31"/>
  <c r="M714" i="31"/>
  <c r="K714" i="31"/>
  <c r="I587" i="31"/>
  <c r="M570" i="31"/>
  <c r="K570" i="31"/>
  <c r="J604" i="31"/>
  <c r="H587" i="31"/>
  <c r="N587" i="31"/>
  <c r="N683" i="31"/>
  <c r="H683" i="31"/>
  <c r="J700" i="31"/>
  <c r="J636" i="31"/>
  <c r="H619" i="31"/>
  <c r="N619" i="31"/>
  <c r="K730" i="31"/>
  <c r="I747" i="31"/>
  <c r="M730" i="31"/>
  <c r="M650" i="31"/>
  <c r="K650" i="31"/>
  <c r="I667" i="31"/>
  <c r="M682" i="31"/>
  <c r="K682" i="31"/>
  <c r="I699" i="31"/>
  <c r="I603" i="31"/>
  <c r="K586" i="31"/>
  <c r="M586" i="31"/>
  <c r="M538" i="31"/>
  <c r="K538" i="31"/>
  <c r="I555" i="31"/>
  <c r="N796" i="31"/>
  <c r="H796" i="31"/>
  <c r="J813" i="31"/>
  <c r="H555" i="31"/>
  <c r="J572" i="31"/>
  <c r="N555" i="31"/>
  <c r="J652" i="31"/>
  <c r="H635" i="31"/>
  <c r="N635" i="31"/>
  <c r="K699" i="31" l="1"/>
  <c r="I716" i="31"/>
  <c r="M699" i="31"/>
  <c r="N700" i="31"/>
  <c r="J717" i="31"/>
  <c r="H700" i="31"/>
  <c r="J685" i="31"/>
  <c r="H668" i="31"/>
  <c r="N668" i="31"/>
  <c r="H780" i="31"/>
  <c r="J797" i="31"/>
  <c r="N780" i="31"/>
  <c r="N572" i="31"/>
  <c r="J589" i="31"/>
  <c r="H572" i="31"/>
  <c r="N604" i="31"/>
  <c r="J621" i="31"/>
  <c r="H604" i="31"/>
  <c r="K683" i="31"/>
  <c r="M683" i="31"/>
  <c r="I700" i="31"/>
  <c r="J749" i="31"/>
  <c r="H732" i="31"/>
  <c r="N732" i="31"/>
  <c r="M556" i="31"/>
  <c r="I573" i="31"/>
  <c r="K556" i="31"/>
  <c r="N764" i="31"/>
  <c r="J781" i="31"/>
  <c r="H764" i="31"/>
  <c r="K651" i="31"/>
  <c r="I668" i="31"/>
  <c r="M651" i="31"/>
  <c r="I604" i="31"/>
  <c r="K587" i="31"/>
  <c r="M587" i="31"/>
  <c r="M863" i="31"/>
  <c r="I880" i="31"/>
  <c r="K555" i="31"/>
  <c r="I572" i="31"/>
  <c r="M555" i="31"/>
  <c r="K763" i="31"/>
  <c r="I780" i="31"/>
  <c r="M763" i="31"/>
  <c r="H620" i="31"/>
  <c r="N620" i="31"/>
  <c r="J637" i="31"/>
  <c r="K813" i="31"/>
  <c r="M813" i="31"/>
  <c r="I830" i="31"/>
  <c r="N588" i="31"/>
  <c r="H588" i="31"/>
  <c r="J605" i="31"/>
  <c r="I636" i="31"/>
  <c r="K619" i="31"/>
  <c r="M619" i="31"/>
  <c r="N716" i="31"/>
  <c r="J733" i="31"/>
  <c r="H716" i="31"/>
  <c r="N652" i="31"/>
  <c r="H652" i="31"/>
  <c r="J669" i="31"/>
  <c r="H813" i="31"/>
  <c r="N813" i="31"/>
  <c r="J830" i="31"/>
  <c r="I620" i="31"/>
  <c r="K603" i="31"/>
  <c r="M603" i="31"/>
  <c r="I684" i="31"/>
  <c r="K667" i="31"/>
  <c r="M667" i="31"/>
  <c r="K747" i="31"/>
  <c r="I764" i="31"/>
  <c r="M747" i="31"/>
  <c r="N636" i="31"/>
  <c r="J653" i="31"/>
  <c r="H636" i="31"/>
  <c r="M731" i="31"/>
  <c r="K731" i="31"/>
  <c r="I748" i="31"/>
  <c r="N684" i="31"/>
  <c r="J701" i="31"/>
  <c r="H684" i="31"/>
  <c r="J812" i="31"/>
  <c r="H795" i="31"/>
  <c r="N795" i="31"/>
  <c r="K795" i="31"/>
  <c r="J573" i="31"/>
  <c r="N556" i="31"/>
  <c r="H556" i="31"/>
  <c r="K571" i="31"/>
  <c r="M571" i="31"/>
  <c r="I588" i="31"/>
  <c r="K635" i="31"/>
  <c r="M635" i="31"/>
  <c r="I652" i="31"/>
  <c r="M715" i="31"/>
  <c r="K715" i="31"/>
  <c r="I732" i="31"/>
  <c r="N748" i="31"/>
  <c r="J765" i="31"/>
  <c r="H748" i="31"/>
  <c r="K732" i="31" l="1"/>
  <c r="I749" i="31"/>
  <c r="M732" i="31"/>
  <c r="J718" i="31"/>
  <c r="H701" i="31"/>
  <c r="N701" i="31"/>
  <c r="K620" i="31"/>
  <c r="I637" i="31"/>
  <c r="M620" i="31"/>
  <c r="H669" i="31"/>
  <c r="J686" i="31"/>
  <c r="N669" i="31"/>
  <c r="N733" i="31"/>
  <c r="H733" i="31"/>
  <c r="J750" i="31"/>
  <c r="I653" i="31"/>
  <c r="M636" i="31"/>
  <c r="K636" i="31"/>
  <c r="K830" i="31"/>
  <c r="M830" i="31"/>
  <c r="I847" i="31"/>
  <c r="I897" i="31"/>
  <c r="M880" i="31"/>
  <c r="J814" i="31"/>
  <c r="H797" i="31"/>
  <c r="N797" i="31"/>
  <c r="H685" i="31"/>
  <c r="N685" i="31"/>
  <c r="J702" i="31"/>
  <c r="J654" i="31"/>
  <c r="H637" i="31"/>
  <c r="N637" i="31"/>
  <c r="K780" i="31"/>
  <c r="I797" i="31"/>
  <c r="M780" i="31"/>
  <c r="M668" i="31"/>
  <c r="I685" i="31"/>
  <c r="K668" i="31"/>
  <c r="K588" i="31"/>
  <c r="I605" i="31"/>
  <c r="M588" i="31"/>
  <c r="I781" i="31"/>
  <c r="M764" i="31"/>
  <c r="K764" i="31"/>
  <c r="I701" i="31"/>
  <c r="K684" i="31"/>
  <c r="M684" i="31"/>
  <c r="H830" i="31"/>
  <c r="N830" i="31"/>
  <c r="J847" i="31"/>
  <c r="N605" i="31"/>
  <c r="J622" i="31"/>
  <c r="H605" i="31"/>
  <c r="K604" i="31"/>
  <c r="I621" i="31"/>
  <c r="M604" i="31"/>
  <c r="I590" i="31"/>
  <c r="K573" i="31"/>
  <c r="M573" i="31"/>
  <c r="N749" i="31"/>
  <c r="H749" i="31"/>
  <c r="J766" i="31"/>
  <c r="J606" i="31"/>
  <c r="H589" i="31"/>
  <c r="N589" i="31"/>
  <c r="K716" i="31"/>
  <c r="M716" i="31"/>
  <c r="I733" i="31"/>
  <c r="J782" i="31"/>
  <c r="H765" i="31"/>
  <c r="N765" i="31"/>
  <c r="M652" i="31"/>
  <c r="I669" i="31"/>
  <c r="K652" i="31"/>
  <c r="J590" i="31"/>
  <c r="H573" i="31"/>
  <c r="N573" i="31"/>
  <c r="N812" i="31"/>
  <c r="J829" i="31"/>
  <c r="H812" i="31"/>
  <c r="K812" i="31"/>
  <c r="I765" i="31"/>
  <c r="K748" i="31"/>
  <c r="M748" i="31"/>
  <c r="H653" i="31"/>
  <c r="N653" i="31"/>
  <c r="J670" i="31"/>
  <c r="K572" i="31"/>
  <c r="I589" i="31"/>
  <c r="M572" i="31"/>
  <c r="J798" i="31"/>
  <c r="H781" i="31"/>
  <c r="N781" i="31"/>
  <c r="K700" i="31"/>
  <c r="M700" i="31"/>
  <c r="I717" i="31"/>
  <c r="J638" i="31"/>
  <c r="H621" i="31"/>
  <c r="N621" i="31"/>
  <c r="N717" i="31"/>
  <c r="H717" i="31"/>
  <c r="J734" i="31"/>
  <c r="N606" i="31" l="1"/>
  <c r="H606" i="31"/>
  <c r="J623" i="31"/>
  <c r="M621" i="31"/>
  <c r="I638" i="31"/>
  <c r="K621" i="31"/>
  <c r="M653" i="31"/>
  <c r="I670" i="31"/>
  <c r="K653" i="31"/>
  <c r="K637" i="31"/>
  <c r="M637" i="31"/>
  <c r="I654" i="31"/>
  <c r="M765" i="31"/>
  <c r="I782" i="31"/>
  <c r="K765" i="31"/>
  <c r="N766" i="31"/>
  <c r="H766" i="31"/>
  <c r="J783" i="31"/>
  <c r="J864" i="31"/>
  <c r="N847" i="31"/>
  <c r="H847" i="31"/>
  <c r="M781" i="31"/>
  <c r="I798" i="31"/>
  <c r="K781" i="31"/>
  <c r="K797" i="31"/>
  <c r="M797" i="31"/>
  <c r="I814" i="31"/>
  <c r="J671" i="31"/>
  <c r="H654" i="31"/>
  <c r="N654" i="31"/>
  <c r="J767" i="31"/>
  <c r="N750" i="31"/>
  <c r="H750" i="31"/>
  <c r="N686" i="31"/>
  <c r="J703" i="31"/>
  <c r="H686" i="31"/>
  <c r="N670" i="31"/>
  <c r="H670" i="31"/>
  <c r="J687" i="31"/>
  <c r="N590" i="31"/>
  <c r="H590" i="31"/>
  <c r="J607" i="31"/>
  <c r="N718" i="31"/>
  <c r="J735" i="31"/>
  <c r="H718" i="31"/>
  <c r="J655" i="31"/>
  <c r="N638" i="31"/>
  <c r="H638" i="31"/>
  <c r="I606" i="31"/>
  <c r="M589" i="31"/>
  <c r="K589" i="31"/>
  <c r="M669" i="31"/>
  <c r="I686" i="31"/>
  <c r="K669" i="31"/>
  <c r="H782" i="31"/>
  <c r="N782" i="31"/>
  <c r="J799" i="31"/>
  <c r="M590" i="31"/>
  <c r="K590" i="31"/>
  <c r="I607" i="31"/>
  <c r="I718" i="31"/>
  <c r="K701" i="31"/>
  <c r="M701" i="31"/>
  <c r="K685" i="31"/>
  <c r="I702" i="31"/>
  <c r="M685" i="31"/>
  <c r="H702" i="31"/>
  <c r="N702" i="31"/>
  <c r="J719" i="31"/>
  <c r="M897" i="31"/>
  <c r="I914" i="31"/>
  <c r="M749" i="31"/>
  <c r="I766" i="31"/>
  <c r="K749" i="31"/>
  <c r="N798" i="31"/>
  <c r="H798" i="31"/>
  <c r="J815" i="31"/>
  <c r="N829" i="31"/>
  <c r="H829" i="31"/>
  <c r="J846" i="31"/>
  <c r="K829" i="31"/>
  <c r="J751" i="31"/>
  <c r="H734" i="31"/>
  <c r="N734" i="31"/>
  <c r="I734" i="31"/>
  <c r="K717" i="31"/>
  <c r="M717" i="31"/>
  <c r="I750" i="31"/>
  <c r="M733" i="31"/>
  <c r="K733" i="31"/>
  <c r="H622" i="31"/>
  <c r="J639" i="31"/>
  <c r="N622" i="31"/>
  <c r="M605" i="31"/>
  <c r="K605" i="31"/>
  <c r="I622" i="31"/>
  <c r="N814" i="31"/>
  <c r="H814" i="31"/>
  <c r="J831" i="31"/>
  <c r="K847" i="31"/>
  <c r="M847" i="31"/>
  <c r="I864" i="31"/>
  <c r="N831" i="31" l="1"/>
  <c r="J848" i="31"/>
  <c r="H831" i="31"/>
  <c r="K607" i="31"/>
  <c r="M607" i="31"/>
  <c r="I624" i="31"/>
  <c r="J688" i="31"/>
  <c r="N671" i="31"/>
  <c r="H671" i="31"/>
  <c r="I687" i="31"/>
  <c r="K670" i="31"/>
  <c r="M670" i="31"/>
  <c r="I881" i="31"/>
  <c r="M864" i="31"/>
  <c r="K864" i="31"/>
  <c r="H751" i="31"/>
  <c r="J768" i="31"/>
  <c r="N751" i="31"/>
  <c r="I931" i="31"/>
  <c r="M914" i="31"/>
  <c r="H687" i="31"/>
  <c r="N687" i="31"/>
  <c r="J704" i="31"/>
  <c r="H703" i="31"/>
  <c r="N703" i="31"/>
  <c r="J720" i="31"/>
  <c r="N767" i="31"/>
  <c r="J784" i="31"/>
  <c r="H767" i="31"/>
  <c r="K814" i="31"/>
  <c r="M814" i="31"/>
  <c r="I831" i="31"/>
  <c r="I815" i="31"/>
  <c r="K798" i="31"/>
  <c r="M798" i="31"/>
  <c r="H864" i="31"/>
  <c r="J881" i="31"/>
  <c r="N864" i="31"/>
  <c r="J640" i="31"/>
  <c r="H623" i="31"/>
  <c r="N623" i="31"/>
  <c r="M734" i="31"/>
  <c r="I751" i="31"/>
  <c r="K734" i="31"/>
  <c r="H815" i="31"/>
  <c r="J832" i="31"/>
  <c r="N815" i="31"/>
  <c r="I783" i="31"/>
  <c r="K766" i="31"/>
  <c r="M766" i="31"/>
  <c r="N655" i="31"/>
  <c r="H655" i="31"/>
  <c r="J672" i="31"/>
  <c r="J624" i="31"/>
  <c r="H607" i="31"/>
  <c r="N607" i="31"/>
  <c r="J800" i="31"/>
  <c r="H783" i="31"/>
  <c r="N783" i="31"/>
  <c r="I799" i="31"/>
  <c r="K782" i="31"/>
  <c r="M782" i="31"/>
  <c r="J752" i="31"/>
  <c r="H735" i="31"/>
  <c r="N735" i="31"/>
  <c r="K654" i="31"/>
  <c r="I671" i="31"/>
  <c r="M654" i="31"/>
  <c r="K622" i="31"/>
  <c r="M622" i="31"/>
  <c r="I639" i="31"/>
  <c r="N639" i="31"/>
  <c r="J656" i="31"/>
  <c r="H639" i="31"/>
  <c r="I767" i="31"/>
  <c r="M750" i="31"/>
  <c r="K750" i="31"/>
  <c r="N846" i="31"/>
  <c r="H846" i="31"/>
  <c r="J863" i="31"/>
  <c r="K846" i="31"/>
  <c r="N719" i="31"/>
  <c r="H719" i="31"/>
  <c r="J736" i="31"/>
  <c r="M702" i="31"/>
  <c r="I719" i="31"/>
  <c r="K702" i="31"/>
  <c r="I735" i="31"/>
  <c r="M718" i="31"/>
  <c r="K718" i="31"/>
  <c r="H799" i="31"/>
  <c r="J816" i="31"/>
  <c r="N799" i="31"/>
  <c r="K686" i="31"/>
  <c r="I703" i="31"/>
  <c r="M686" i="31"/>
  <c r="M606" i="31"/>
  <c r="I623" i="31"/>
  <c r="K606" i="31"/>
  <c r="M638" i="31"/>
  <c r="I655" i="31"/>
  <c r="K638" i="31"/>
  <c r="M639" i="31" l="1"/>
  <c r="K639" i="31"/>
  <c r="I656" i="31"/>
  <c r="H640" i="31"/>
  <c r="N640" i="31"/>
  <c r="J657" i="31"/>
  <c r="I640" i="31"/>
  <c r="K623" i="31"/>
  <c r="M623" i="31"/>
  <c r="M719" i="31"/>
  <c r="I736" i="31"/>
  <c r="K719" i="31"/>
  <c r="N624" i="31"/>
  <c r="J641" i="31"/>
  <c r="H624" i="31"/>
  <c r="N832" i="31"/>
  <c r="H832" i="31"/>
  <c r="J849" i="31"/>
  <c r="N720" i="31"/>
  <c r="H720" i="31"/>
  <c r="J737" i="31"/>
  <c r="M931" i="31"/>
  <c r="I948" i="31"/>
  <c r="J705" i="31"/>
  <c r="H688" i="31"/>
  <c r="N688" i="31"/>
  <c r="I720" i="31"/>
  <c r="K703" i="31"/>
  <c r="M703" i="31"/>
  <c r="I688" i="31"/>
  <c r="K671" i="31"/>
  <c r="M671" i="31"/>
  <c r="I768" i="31"/>
  <c r="K751" i="31"/>
  <c r="M751" i="31"/>
  <c r="J673" i="31"/>
  <c r="H656" i="31"/>
  <c r="N656" i="31"/>
  <c r="J817" i="31"/>
  <c r="N800" i="31"/>
  <c r="H800" i="31"/>
  <c r="H672" i="31"/>
  <c r="J689" i="31"/>
  <c r="N672" i="31"/>
  <c r="N881" i="31"/>
  <c r="J898" i="31"/>
  <c r="H881" i="31"/>
  <c r="I832" i="31"/>
  <c r="M815" i="31"/>
  <c r="K815" i="31"/>
  <c r="M687" i="31"/>
  <c r="K687" i="31"/>
  <c r="I704" i="31"/>
  <c r="K624" i="31"/>
  <c r="I641" i="31"/>
  <c r="M624" i="31"/>
  <c r="J865" i="31"/>
  <c r="H848" i="31"/>
  <c r="N848" i="31"/>
  <c r="K767" i="31"/>
  <c r="I784" i="31"/>
  <c r="M767" i="31"/>
  <c r="J769" i="31"/>
  <c r="N752" i="31"/>
  <c r="H752" i="31"/>
  <c r="J721" i="31"/>
  <c r="H704" i="31"/>
  <c r="N704" i="31"/>
  <c r="M655" i="31"/>
  <c r="I672" i="31"/>
  <c r="K655" i="31"/>
  <c r="N816" i="31"/>
  <c r="H816" i="31"/>
  <c r="J833" i="31"/>
  <c r="I752" i="31"/>
  <c r="K735" i="31"/>
  <c r="M735" i="31"/>
  <c r="J753" i="31"/>
  <c r="H736" i="31"/>
  <c r="N736" i="31"/>
  <c r="J880" i="31"/>
  <c r="N863" i="31"/>
  <c r="H863" i="31"/>
  <c r="K863" i="31"/>
  <c r="I816" i="31"/>
  <c r="K799" i="31"/>
  <c r="M799" i="31"/>
  <c r="K783" i="31"/>
  <c r="M783" i="31"/>
  <c r="I800" i="31"/>
  <c r="I848" i="31"/>
  <c r="M831" i="31"/>
  <c r="K831" i="31"/>
  <c r="H784" i="31"/>
  <c r="J801" i="31"/>
  <c r="N784" i="31"/>
  <c r="H768" i="31"/>
  <c r="N768" i="31"/>
  <c r="J785" i="31"/>
  <c r="M881" i="31"/>
  <c r="I898" i="31"/>
  <c r="K881" i="31"/>
  <c r="J802" i="31" l="1"/>
  <c r="N785" i="31"/>
  <c r="H785" i="31"/>
  <c r="K848" i="31"/>
  <c r="I865" i="31"/>
  <c r="M848" i="31"/>
  <c r="I965" i="31"/>
  <c r="M948" i="31"/>
  <c r="K800" i="31"/>
  <c r="I817" i="31"/>
  <c r="M800" i="31"/>
  <c r="J770" i="31"/>
  <c r="H753" i="31"/>
  <c r="N753" i="31"/>
  <c r="N833" i="31"/>
  <c r="J850" i="31"/>
  <c r="H833" i="31"/>
  <c r="K672" i="31"/>
  <c r="M672" i="31"/>
  <c r="I689" i="31"/>
  <c r="J738" i="31"/>
  <c r="N721" i="31"/>
  <c r="H721" i="31"/>
  <c r="J915" i="31"/>
  <c r="N898" i="31"/>
  <c r="H898" i="31"/>
  <c r="M688" i="31"/>
  <c r="I705" i="31"/>
  <c r="K688" i="31"/>
  <c r="I753" i="31"/>
  <c r="M736" i="31"/>
  <c r="K736" i="31"/>
  <c r="I657" i="31"/>
  <c r="M640" i="31"/>
  <c r="K640" i="31"/>
  <c r="I673" i="31"/>
  <c r="M656" i="31"/>
  <c r="K656" i="31"/>
  <c r="J818" i="31"/>
  <c r="H801" i="31"/>
  <c r="N801" i="31"/>
  <c r="I658" i="31"/>
  <c r="K641" i="31"/>
  <c r="M641" i="31"/>
  <c r="H689" i="31"/>
  <c r="N689" i="31"/>
  <c r="J706" i="31"/>
  <c r="M720" i="31"/>
  <c r="I737" i="31"/>
  <c r="K720" i="31"/>
  <c r="I915" i="31"/>
  <c r="M898" i="31"/>
  <c r="K898" i="31"/>
  <c r="M816" i="31"/>
  <c r="I833" i="31"/>
  <c r="K816" i="31"/>
  <c r="H880" i="31"/>
  <c r="J897" i="31"/>
  <c r="N880" i="31"/>
  <c r="K880" i="31"/>
  <c r="K784" i="31"/>
  <c r="I801" i="31"/>
  <c r="M784" i="31"/>
  <c r="H865" i="31"/>
  <c r="J882" i="31"/>
  <c r="N865" i="31"/>
  <c r="K704" i="31"/>
  <c r="I721" i="31"/>
  <c r="M704" i="31"/>
  <c r="I785" i="31"/>
  <c r="M768" i="31"/>
  <c r="K768" i="31"/>
  <c r="N849" i="31"/>
  <c r="J866" i="31"/>
  <c r="H849" i="31"/>
  <c r="N641" i="31"/>
  <c r="J658" i="31"/>
  <c r="H641" i="31"/>
  <c r="N657" i="31"/>
  <c r="H657" i="31"/>
  <c r="J674" i="31"/>
  <c r="I769" i="31"/>
  <c r="M752" i="31"/>
  <c r="K752" i="31"/>
  <c r="H769" i="31"/>
  <c r="J786" i="31"/>
  <c r="N769" i="31"/>
  <c r="N817" i="31"/>
  <c r="H817" i="31"/>
  <c r="J834" i="31"/>
  <c r="I849" i="31"/>
  <c r="K832" i="31"/>
  <c r="M832" i="31"/>
  <c r="N673" i="31"/>
  <c r="J690" i="31"/>
  <c r="H673" i="31"/>
  <c r="N705" i="31"/>
  <c r="H705" i="31"/>
  <c r="J722" i="31"/>
  <c r="H737" i="31"/>
  <c r="N737" i="31"/>
  <c r="J754" i="31"/>
  <c r="J739" i="31" l="1"/>
  <c r="H722" i="31"/>
  <c r="N722" i="31"/>
  <c r="M849" i="31"/>
  <c r="K849" i="31"/>
  <c r="I866" i="31"/>
  <c r="I932" i="31"/>
  <c r="M915" i="31"/>
  <c r="K915" i="31"/>
  <c r="H818" i="31"/>
  <c r="J835" i="31"/>
  <c r="N818" i="31"/>
  <c r="N754" i="31"/>
  <c r="J771" i="31"/>
  <c r="H754" i="31"/>
  <c r="N834" i="31"/>
  <c r="J851" i="31"/>
  <c r="H834" i="31"/>
  <c r="H786" i="31"/>
  <c r="N786" i="31"/>
  <c r="J803" i="31"/>
  <c r="K769" i="31"/>
  <c r="I786" i="31"/>
  <c r="M769" i="31"/>
  <c r="N866" i="31"/>
  <c r="H866" i="31"/>
  <c r="J883" i="31"/>
  <c r="M785" i="31"/>
  <c r="K785" i="31"/>
  <c r="I802" i="31"/>
  <c r="I818" i="31"/>
  <c r="M801" i="31"/>
  <c r="K801" i="31"/>
  <c r="H897" i="31"/>
  <c r="N897" i="31"/>
  <c r="J914" i="31"/>
  <c r="K897" i="31"/>
  <c r="M658" i="31"/>
  <c r="K658" i="31"/>
  <c r="I675" i="31"/>
  <c r="M753" i="31"/>
  <c r="I770" i="31"/>
  <c r="K753" i="31"/>
  <c r="K817" i="31"/>
  <c r="M817" i="31"/>
  <c r="I834" i="31"/>
  <c r="I982" i="31"/>
  <c r="M965" i="31"/>
  <c r="J707" i="31"/>
  <c r="H690" i="31"/>
  <c r="N690" i="31"/>
  <c r="J723" i="31"/>
  <c r="H706" i="31"/>
  <c r="N706" i="31"/>
  <c r="N674" i="31"/>
  <c r="H674" i="31"/>
  <c r="J691" i="31"/>
  <c r="H658" i="31"/>
  <c r="J675" i="31"/>
  <c r="N658" i="31"/>
  <c r="J899" i="31"/>
  <c r="N882" i="31"/>
  <c r="H882" i="31"/>
  <c r="I754" i="31"/>
  <c r="M737" i="31"/>
  <c r="K737" i="31"/>
  <c r="K657" i="31"/>
  <c r="M657" i="31"/>
  <c r="I674" i="31"/>
  <c r="N738" i="31"/>
  <c r="J755" i="31"/>
  <c r="H738" i="31"/>
  <c r="M833" i="31"/>
  <c r="I850" i="31"/>
  <c r="K833" i="31"/>
  <c r="K721" i="31"/>
  <c r="I738" i="31"/>
  <c r="M721" i="31"/>
  <c r="K673" i="31"/>
  <c r="I690" i="31"/>
  <c r="M673" i="31"/>
  <c r="K705" i="31"/>
  <c r="I722" i="31"/>
  <c r="M705" i="31"/>
  <c r="J932" i="31"/>
  <c r="H915" i="31"/>
  <c r="N915" i="31"/>
  <c r="M689" i="31"/>
  <c r="I706" i="31"/>
  <c r="K689" i="31"/>
  <c r="J867" i="31"/>
  <c r="H850" i="31"/>
  <c r="N850" i="31"/>
  <c r="N770" i="31"/>
  <c r="J787" i="31"/>
  <c r="H770" i="31"/>
  <c r="I882" i="31"/>
  <c r="M865" i="31"/>
  <c r="K865" i="31"/>
  <c r="J819" i="31"/>
  <c r="N802" i="31"/>
  <c r="H802" i="31"/>
  <c r="M722" i="31" l="1"/>
  <c r="K722" i="31"/>
  <c r="I739" i="31"/>
  <c r="N755" i="31"/>
  <c r="J772" i="31"/>
  <c r="H755" i="31"/>
  <c r="K675" i="31"/>
  <c r="M675" i="31"/>
  <c r="I692" i="31"/>
  <c r="H914" i="31"/>
  <c r="N914" i="31"/>
  <c r="J931" i="31"/>
  <c r="K914" i="31"/>
  <c r="K850" i="31"/>
  <c r="M850" i="31"/>
  <c r="I867" i="31"/>
  <c r="M982" i="31"/>
  <c r="I999" i="31"/>
  <c r="K818" i="31"/>
  <c r="M818" i="31"/>
  <c r="I835" i="31"/>
  <c r="J900" i="31"/>
  <c r="H883" i="31"/>
  <c r="N883" i="31"/>
  <c r="M786" i="31"/>
  <c r="K786" i="31"/>
  <c r="I803" i="31"/>
  <c r="J852" i="31"/>
  <c r="H835" i="31"/>
  <c r="N835" i="31"/>
  <c r="K932" i="31"/>
  <c r="M932" i="31"/>
  <c r="I949" i="31"/>
  <c r="H867" i="31"/>
  <c r="J884" i="31"/>
  <c r="N867" i="31"/>
  <c r="H675" i="31"/>
  <c r="J692" i="31"/>
  <c r="N675" i="31"/>
  <c r="K882" i="31"/>
  <c r="M882" i="31"/>
  <c r="I899" i="31"/>
  <c r="K706" i="31"/>
  <c r="I723" i="31"/>
  <c r="M706" i="31"/>
  <c r="H932" i="31"/>
  <c r="J949" i="31"/>
  <c r="N932" i="31"/>
  <c r="M738" i="31"/>
  <c r="K738" i="31"/>
  <c r="I755" i="31"/>
  <c r="I691" i="31"/>
  <c r="K674" i="31"/>
  <c r="M674" i="31"/>
  <c r="J916" i="31"/>
  <c r="H899" i="31"/>
  <c r="N899" i="31"/>
  <c r="J708" i="31"/>
  <c r="H691" i="31"/>
  <c r="N691" i="31"/>
  <c r="H707" i="31"/>
  <c r="N707" i="31"/>
  <c r="J724" i="31"/>
  <c r="I851" i="31"/>
  <c r="K834" i="31"/>
  <c r="M834" i="31"/>
  <c r="K770" i="31"/>
  <c r="I787" i="31"/>
  <c r="M770" i="31"/>
  <c r="I819" i="31"/>
  <c r="M802" i="31"/>
  <c r="K802" i="31"/>
  <c r="J788" i="31"/>
  <c r="N771" i="31"/>
  <c r="H771" i="31"/>
  <c r="I883" i="31"/>
  <c r="K866" i="31"/>
  <c r="M866" i="31"/>
  <c r="J804" i="31"/>
  <c r="H787" i="31"/>
  <c r="N787" i="31"/>
  <c r="H819" i="31"/>
  <c r="J836" i="31"/>
  <c r="N819" i="31"/>
  <c r="M690" i="31"/>
  <c r="K690" i="31"/>
  <c r="I707" i="31"/>
  <c r="M754" i="31"/>
  <c r="I771" i="31"/>
  <c r="K754" i="31"/>
  <c r="N723" i="31"/>
  <c r="H723" i="31"/>
  <c r="J740" i="31"/>
  <c r="N803" i="31"/>
  <c r="H803" i="31"/>
  <c r="J820" i="31"/>
  <c r="J868" i="31"/>
  <c r="H851" i="31"/>
  <c r="N851" i="31"/>
  <c r="H739" i="31"/>
  <c r="N739" i="31"/>
  <c r="J756" i="31"/>
  <c r="M707" i="31" l="1"/>
  <c r="I724" i="31"/>
  <c r="K707" i="31"/>
  <c r="M867" i="31"/>
  <c r="I884" i="31"/>
  <c r="K867" i="31"/>
  <c r="I836" i="31"/>
  <c r="M819" i="31"/>
  <c r="K819" i="31"/>
  <c r="J725" i="31"/>
  <c r="H708" i="31"/>
  <c r="N708" i="31"/>
  <c r="M899" i="31"/>
  <c r="K899" i="31"/>
  <c r="I916" i="31"/>
  <c r="N692" i="31"/>
  <c r="J709" i="31"/>
  <c r="H692" i="31"/>
  <c r="J917" i="31"/>
  <c r="N900" i="31"/>
  <c r="H900" i="31"/>
  <c r="I1016" i="31"/>
  <c r="M999" i="31"/>
  <c r="I756" i="31"/>
  <c r="K739" i="31"/>
  <c r="M739" i="31"/>
  <c r="H804" i="31"/>
  <c r="N804" i="31"/>
  <c r="J821" i="31"/>
  <c r="I772" i="31"/>
  <c r="K755" i="31"/>
  <c r="M755" i="31"/>
  <c r="M803" i="31"/>
  <c r="K803" i="31"/>
  <c r="I820" i="31"/>
  <c r="N740" i="31"/>
  <c r="H740" i="31"/>
  <c r="J757" i="31"/>
  <c r="J805" i="31"/>
  <c r="H788" i="31"/>
  <c r="N788" i="31"/>
  <c r="I966" i="31"/>
  <c r="M949" i="31"/>
  <c r="K949" i="31"/>
  <c r="I852" i="31"/>
  <c r="K835" i="31"/>
  <c r="M835" i="31"/>
  <c r="J853" i="31"/>
  <c r="H836" i="31"/>
  <c r="N836" i="31"/>
  <c r="H724" i="31"/>
  <c r="J741" i="31"/>
  <c r="N724" i="31"/>
  <c r="H916" i="31"/>
  <c r="J933" i="31"/>
  <c r="N916" i="31"/>
  <c r="N949" i="31"/>
  <c r="H949" i="31"/>
  <c r="J966" i="31"/>
  <c r="N884" i="31"/>
  <c r="H884" i="31"/>
  <c r="J901" i="31"/>
  <c r="J948" i="31"/>
  <c r="H931" i="31"/>
  <c r="N931" i="31"/>
  <c r="K931" i="31"/>
  <c r="N756" i="31"/>
  <c r="J773" i="31"/>
  <c r="H756" i="31"/>
  <c r="J885" i="31"/>
  <c r="H868" i="31"/>
  <c r="N868" i="31"/>
  <c r="M771" i="31"/>
  <c r="K771" i="31"/>
  <c r="I788" i="31"/>
  <c r="J837" i="31"/>
  <c r="N820" i="31"/>
  <c r="H820" i="31"/>
  <c r="K883" i="31"/>
  <c r="I900" i="31"/>
  <c r="M883" i="31"/>
  <c r="M787" i="31"/>
  <c r="K787" i="31"/>
  <c r="I804" i="31"/>
  <c r="M851" i="31"/>
  <c r="K851" i="31"/>
  <c r="I868" i="31"/>
  <c r="M691" i="31"/>
  <c r="I708" i="31"/>
  <c r="K691" i="31"/>
  <c r="M723" i="31"/>
  <c r="I740" i="31"/>
  <c r="K723" i="31"/>
  <c r="N852" i="31"/>
  <c r="J869" i="31"/>
  <c r="H852" i="31"/>
  <c r="M692" i="31"/>
  <c r="I709" i="31"/>
  <c r="K692" i="31"/>
  <c r="H772" i="31"/>
  <c r="N772" i="31"/>
  <c r="J789" i="31"/>
  <c r="K788" i="31" l="1"/>
  <c r="M788" i="31"/>
  <c r="I805" i="31"/>
  <c r="H966" i="31"/>
  <c r="N966" i="31"/>
  <c r="J983" i="31"/>
  <c r="J950" i="31"/>
  <c r="N933" i="31"/>
  <c r="H933" i="31"/>
  <c r="N805" i="31"/>
  <c r="J822" i="31"/>
  <c r="H805" i="31"/>
  <c r="I837" i="31"/>
  <c r="K820" i="31"/>
  <c r="M820" i="31"/>
  <c r="H789" i="31"/>
  <c r="J806" i="31"/>
  <c r="N789" i="31"/>
  <c r="K709" i="31"/>
  <c r="M709" i="31"/>
  <c r="I726" i="31"/>
  <c r="J902" i="31"/>
  <c r="H885" i="31"/>
  <c r="N885" i="31"/>
  <c r="J918" i="31"/>
  <c r="H901" i="31"/>
  <c r="N901" i="31"/>
  <c r="K966" i="31"/>
  <c r="M966" i="31"/>
  <c r="I983" i="31"/>
  <c r="H757" i="31"/>
  <c r="N757" i="31"/>
  <c r="J774" i="31"/>
  <c r="M772" i="31"/>
  <c r="K772" i="31"/>
  <c r="I789" i="31"/>
  <c r="J934" i="31"/>
  <c r="H917" i="31"/>
  <c r="N917" i="31"/>
  <c r="M916" i="31"/>
  <c r="K916" i="31"/>
  <c r="I933" i="31"/>
  <c r="K836" i="31"/>
  <c r="M836" i="31"/>
  <c r="I853" i="31"/>
  <c r="K868" i="31"/>
  <c r="I885" i="31"/>
  <c r="M868" i="31"/>
  <c r="M708" i="31"/>
  <c r="I725" i="31"/>
  <c r="K708" i="31"/>
  <c r="M852" i="31"/>
  <c r="K852" i="31"/>
  <c r="I869" i="31"/>
  <c r="N821" i="31"/>
  <c r="H821" i="31"/>
  <c r="J838" i="31"/>
  <c r="I1033" i="31"/>
  <c r="M1016" i="31"/>
  <c r="N725" i="31"/>
  <c r="H725" i="31"/>
  <c r="J742" i="31"/>
  <c r="I741" i="31"/>
  <c r="K724" i="31"/>
  <c r="M724" i="31"/>
  <c r="J886" i="31"/>
  <c r="N869" i="31"/>
  <c r="H869" i="31"/>
  <c r="H948" i="31"/>
  <c r="N948" i="31"/>
  <c r="J965" i="31"/>
  <c r="K948" i="31"/>
  <c r="K740" i="31"/>
  <c r="M740" i="31"/>
  <c r="I757" i="31"/>
  <c r="M804" i="31"/>
  <c r="I821" i="31"/>
  <c r="K804" i="31"/>
  <c r="K900" i="31"/>
  <c r="M900" i="31"/>
  <c r="I917" i="31"/>
  <c r="H837" i="31"/>
  <c r="J854" i="31"/>
  <c r="N837" i="31"/>
  <c r="N773" i="31"/>
  <c r="H773" i="31"/>
  <c r="J790" i="31"/>
  <c r="J758" i="31"/>
  <c r="H741" i="31"/>
  <c r="N741" i="31"/>
  <c r="J870" i="31"/>
  <c r="H853" i="31"/>
  <c r="N853" i="31"/>
  <c r="I773" i="31"/>
  <c r="M756" i="31"/>
  <c r="K756" i="31"/>
  <c r="N709" i="31"/>
  <c r="J726" i="31"/>
  <c r="H709" i="31"/>
  <c r="I901" i="31"/>
  <c r="M884" i="31"/>
  <c r="K884" i="31"/>
  <c r="N790" i="31" l="1"/>
  <c r="H790" i="31"/>
  <c r="J807" i="31"/>
  <c r="N965" i="31"/>
  <c r="H965" i="31"/>
  <c r="J982" i="31"/>
  <c r="K965" i="31"/>
  <c r="H886" i="31"/>
  <c r="J903" i="31"/>
  <c r="N886" i="31"/>
  <c r="H742" i="31"/>
  <c r="J759" i="31"/>
  <c r="N742" i="31"/>
  <c r="K885" i="31"/>
  <c r="I902" i="31"/>
  <c r="M885" i="31"/>
  <c r="J839" i="31"/>
  <c r="N822" i="31"/>
  <c r="H822" i="31"/>
  <c r="H950" i="31"/>
  <c r="J967" i="31"/>
  <c r="N950" i="31"/>
  <c r="K805" i="31"/>
  <c r="M805" i="31"/>
  <c r="I822" i="31"/>
  <c r="H854" i="31"/>
  <c r="N854" i="31"/>
  <c r="J871" i="31"/>
  <c r="K757" i="31"/>
  <c r="M757" i="31"/>
  <c r="I774" i="31"/>
  <c r="M741" i="31"/>
  <c r="K741" i="31"/>
  <c r="I758" i="31"/>
  <c r="M789" i="31"/>
  <c r="I806" i="31"/>
  <c r="K789" i="31"/>
  <c r="J743" i="31"/>
  <c r="H726" i="31"/>
  <c r="N726" i="31"/>
  <c r="I790" i="31"/>
  <c r="K773" i="31"/>
  <c r="M773" i="31"/>
  <c r="K917" i="31"/>
  <c r="I934" i="31"/>
  <c r="M917" i="31"/>
  <c r="M1033" i="31"/>
  <c r="I886" i="31"/>
  <c r="M869" i="31"/>
  <c r="K869" i="31"/>
  <c r="I742" i="31"/>
  <c r="M725" i="31"/>
  <c r="K725" i="31"/>
  <c r="M933" i="31"/>
  <c r="K933" i="31"/>
  <c r="I950" i="31"/>
  <c r="I1000" i="31"/>
  <c r="K983" i="31"/>
  <c r="M983" i="31"/>
  <c r="N902" i="31"/>
  <c r="J919" i="31"/>
  <c r="H902" i="31"/>
  <c r="N983" i="31"/>
  <c r="J1000" i="31"/>
  <c r="H983" i="31"/>
  <c r="H870" i="31"/>
  <c r="N870" i="31"/>
  <c r="J887" i="31"/>
  <c r="M821" i="31"/>
  <c r="K821" i="31"/>
  <c r="I838" i="31"/>
  <c r="K901" i="31"/>
  <c r="I918" i="31"/>
  <c r="M901" i="31"/>
  <c r="N758" i="31"/>
  <c r="H758" i="31"/>
  <c r="J775" i="31"/>
  <c r="H838" i="31"/>
  <c r="J855" i="31"/>
  <c r="N838" i="31"/>
  <c r="M853" i="31"/>
  <c r="K853" i="31"/>
  <c r="I870" i="31"/>
  <c r="J951" i="31"/>
  <c r="N934" i="31"/>
  <c r="H934" i="31"/>
  <c r="J791" i="31"/>
  <c r="H774" i="31"/>
  <c r="N774" i="31"/>
  <c r="J935" i="31"/>
  <c r="H918" i="31"/>
  <c r="N918" i="31"/>
  <c r="I743" i="31"/>
  <c r="K726" i="31"/>
  <c r="M726" i="31"/>
  <c r="J823" i="31"/>
  <c r="N806" i="31"/>
  <c r="H806" i="31"/>
  <c r="M837" i="31"/>
  <c r="K837" i="31"/>
  <c r="I854" i="31"/>
  <c r="N855" i="31" l="1"/>
  <c r="H855" i="31"/>
  <c r="J872" i="31"/>
  <c r="K742" i="31"/>
  <c r="M742" i="31"/>
  <c r="I759" i="31"/>
  <c r="I823" i="31"/>
  <c r="M806" i="31"/>
  <c r="K806" i="31"/>
  <c r="J888" i="31"/>
  <c r="N871" i="31"/>
  <c r="H871" i="31"/>
  <c r="I791" i="31"/>
  <c r="K774" i="31"/>
  <c r="M774" i="31"/>
  <c r="K902" i="31"/>
  <c r="I919" i="31"/>
  <c r="M902" i="31"/>
  <c r="J824" i="31"/>
  <c r="H807" i="31"/>
  <c r="N807" i="31"/>
  <c r="I887" i="31"/>
  <c r="K870" i="31"/>
  <c r="M870" i="31"/>
  <c r="H759" i="31"/>
  <c r="J776" i="31"/>
  <c r="N759" i="31"/>
  <c r="J952" i="31"/>
  <c r="H935" i="31"/>
  <c r="N935" i="31"/>
  <c r="M918" i="31"/>
  <c r="K918" i="31"/>
  <c r="I935" i="31"/>
  <c r="H919" i="31"/>
  <c r="J936" i="31"/>
  <c r="N919" i="31"/>
  <c r="J760" i="31"/>
  <c r="H743" i="31"/>
  <c r="N743" i="31"/>
  <c r="K758" i="31"/>
  <c r="I775" i="31"/>
  <c r="M758" i="31"/>
  <c r="J999" i="31"/>
  <c r="N982" i="31"/>
  <c r="H982" i="31"/>
  <c r="K982" i="31"/>
  <c r="J808" i="31"/>
  <c r="H791" i="31"/>
  <c r="N791" i="31"/>
  <c r="M838" i="31"/>
  <c r="I855" i="31"/>
  <c r="K838" i="31"/>
  <c r="I871" i="31"/>
  <c r="K854" i="31"/>
  <c r="M854" i="31"/>
  <c r="I760" i="31"/>
  <c r="K743" i="31"/>
  <c r="M743" i="31"/>
  <c r="H775" i="31"/>
  <c r="J792" i="31"/>
  <c r="N775" i="31"/>
  <c r="I1017" i="31"/>
  <c r="K1000" i="31"/>
  <c r="M1000" i="31"/>
  <c r="N823" i="31"/>
  <c r="H823" i="31"/>
  <c r="J840" i="31"/>
  <c r="N951" i="31"/>
  <c r="H951" i="31"/>
  <c r="J968" i="31"/>
  <c r="N887" i="31"/>
  <c r="J904" i="31"/>
  <c r="H887" i="31"/>
  <c r="N1000" i="31"/>
  <c r="J1017" i="31"/>
  <c r="H1000" i="31"/>
  <c r="K950" i="31"/>
  <c r="M950" i="31"/>
  <c r="I967" i="31"/>
  <c r="M886" i="31"/>
  <c r="K886" i="31"/>
  <c r="I903" i="31"/>
  <c r="M934" i="31"/>
  <c r="K934" i="31"/>
  <c r="I951" i="31"/>
  <c r="M790" i="31"/>
  <c r="I807" i="31"/>
  <c r="K790" i="31"/>
  <c r="K822" i="31"/>
  <c r="M822" i="31"/>
  <c r="I839" i="31"/>
  <c r="J984" i="31"/>
  <c r="N967" i="31"/>
  <c r="H967" i="31"/>
  <c r="N839" i="31"/>
  <c r="J856" i="31"/>
  <c r="H839" i="31"/>
  <c r="H903" i="31"/>
  <c r="J920" i="31"/>
  <c r="N903" i="31"/>
  <c r="H984" i="31" l="1"/>
  <c r="N984" i="31"/>
  <c r="J1001" i="31"/>
  <c r="I777" i="31"/>
  <c r="M760" i="31"/>
  <c r="K760" i="31"/>
  <c r="K839" i="31"/>
  <c r="M839" i="31"/>
  <c r="I856" i="31"/>
  <c r="I824" i="31"/>
  <c r="M807" i="31"/>
  <c r="K807" i="31"/>
  <c r="K967" i="31"/>
  <c r="I984" i="31"/>
  <c r="M967" i="31"/>
  <c r="N1017" i="31"/>
  <c r="H1017" i="31"/>
  <c r="J1034" i="31"/>
  <c r="J857" i="31"/>
  <c r="H840" i="31"/>
  <c r="N840" i="31"/>
  <c r="K855" i="31"/>
  <c r="I872" i="31"/>
  <c r="M855" i="31"/>
  <c r="J825" i="31"/>
  <c r="N808" i="31"/>
  <c r="H808" i="31"/>
  <c r="J1016" i="31"/>
  <c r="N999" i="31"/>
  <c r="H999" i="31"/>
  <c r="K999" i="31"/>
  <c r="H936" i="31"/>
  <c r="N936" i="31"/>
  <c r="J953" i="31"/>
  <c r="H824" i="31"/>
  <c r="J841" i="31"/>
  <c r="N824" i="31"/>
  <c r="I840" i="31"/>
  <c r="M823" i="31"/>
  <c r="K823" i="31"/>
  <c r="N872" i="31"/>
  <c r="H872" i="31"/>
  <c r="J889" i="31"/>
  <c r="J969" i="31"/>
  <c r="N952" i="31"/>
  <c r="H952" i="31"/>
  <c r="N920" i="31"/>
  <c r="H920" i="31"/>
  <c r="J937" i="31"/>
  <c r="K903" i="31"/>
  <c r="M903" i="31"/>
  <c r="I920" i="31"/>
  <c r="J985" i="31"/>
  <c r="H968" i="31"/>
  <c r="N968" i="31"/>
  <c r="M1017" i="31"/>
  <c r="K1017" i="31"/>
  <c r="I1034" i="31"/>
  <c r="J793" i="31"/>
  <c r="N776" i="31"/>
  <c r="H776" i="31"/>
  <c r="M887" i="31"/>
  <c r="I904" i="31"/>
  <c r="K887" i="31"/>
  <c r="H888" i="31"/>
  <c r="J905" i="31"/>
  <c r="N888" i="31"/>
  <c r="I776" i="31"/>
  <c r="M759" i="31"/>
  <c r="K759" i="31"/>
  <c r="H856" i="31"/>
  <c r="N856" i="31"/>
  <c r="J873" i="31"/>
  <c r="H904" i="31"/>
  <c r="J921" i="31"/>
  <c r="N904" i="31"/>
  <c r="N792" i="31"/>
  <c r="H792" i="31"/>
  <c r="J809" i="31"/>
  <c r="I968" i="31"/>
  <c r="K951" i="31"/>
  <c r="M951" i="31"/>
  <c r="K871" i="31"/>
  <c r="I888" i="31"/>
  <c r="M871" i="31"/>
  <c r="K775" i="31"/>
  <c r="M775" i="31"/>
  <c r="I792" i="31"/>
  <c r="H760" i="31"/>
  <c r="N760" i="31"/>
  <c r="J777" i="31"/>
  <c r="M935" i="31"/>
  <c r="I952" i="31"/>
  <c r="K935" i="31"/>
  <c r="K919" i="31"/>
  <c r="M919" i="31"/>
  <c r="I936" i="31"/>
  <c r="I808" i="31"/>
  <c r="M791" i="31"/>
  <c r="K791" i="31"/>
  <c r="I905" i="31" l="1"/>
  <c r="M888" i="31"/>
  <c r="K888" i="31"/>
  <c r="M920" i="31"/>
  <c r="K920" i="31"/>
  <c r="I937" i="31"/>
  <c r="N969" i="31"/>
  <c r="H969" i="31"/>
  <c r="J986" i="31"/>
  <c r="H841" i="31"/>
  <c r="N841" i="31"/>
  <c r="J858" i="31"/>
  <c r="N1016" i="31"/>
  <c r="J1033" i="31"/>
  <c r="H1016" i="31"/>
  <c r="K1016" i="31"/>
  <c r="K777" i="31"/>
  <c r="I794" i="31"/>
  <c r="M777" i="31"/>
  <c r="H777" i="31"/>
  <c r="J794" i="31"/>
  <c r="N777" i="31"/>
  <c r="J826" i="31"/>
  <c r="H809" i="31"/>
  <c r="N809" i="31"/>
  <c r="H921" i="31"/>
  <c r="N921" i="31"/>
  <c r="J938" i="31"/>
  <c r="M904" i="31"/>
  <c r="I921" i="31"/>
  <c r="K904" i="31"/>
  <c r="J810" i="31"/>
  <c r="H793" i="31"/>
  <c r="N793" i="31"/>
  <c r="H889" i="31"/>
  <c r="N889" i="31"/>
  <c r="J906" i="31"/>
  <c r="I889" i="31"/>
  <c r="K872" i="31"/>
  <c r="M872" i="31"/>
  <c r="H857" i="31"/>
  <c r="J874" i="31"/>
  <c r="N857" i="31"/>
  <c r="J1018" i="31"/>
  <c r="H1001" i="31"/>
  <c r="N1001" i="31"/>
  <c r="I985" i="31"/>
  <c r="K968" i="31"/>
  <c r="M968" i="31"/>
  <c r="M776" i="31"/>
  <c r="I793" i="31"/>
  <c r="K776" i="31"/>
  <c r="I825" i="31"/>
  <c r="K808" i="31"/>
  <c r="M808" i="31"/>
  <c r="H905" i="31"/>
  <c r="J922" i="31"/>
  <c r="N905" i="31"/>
  <c r="M1034" i="31"/>
  <c r="K1034" i="31"/>
  <c r="K840" i="31"/>
  <c r="M840" i="31"/>
  <c r="I857" i="31"/>
  <c r="N953" i="31"/>
  <c r="H953" i="31"/>
  <c r="J970" i="31"/>
  <c r="N1034" i="31"/>
  <c r="H1034" i="31"/>
  <c r="M984" i="31"/>
  <c r="I1001" i="31"/>
  <c r="K984" i="31"/>
  <c r="I841" i="31"/>
  <c r="M824" i="31"/>
  <c r="K824" i="31"/>
  <c r="K792" i="31"/>
  <c r="M792" i="31"/>
  <c r="I809" i="31"/>
  <c r="K936" i="31"/>
  <c r="I953" i="31"/>
  <c r="M936" i="31"/>
  <c r="M952" i="31"/>
  <c r="K952" i="31"/>
  <c r="I969" i="31"/>
  <c r="J890" i="31"/>
  <c r="N873" i="31"/>
  <c r="H873" i="31"/>
  <c r="J1002" i="31"/>
  <c r="H985" i="31"/>
  <c r="N985" i="31"/>
  <c r="N937" i="31"/>
  <c r="H937" i="31"/>
  <c r="J954" i="31"/>
  <c r="N825" i="31"/>
  <c r="H825" i="31"/>
  <c r="J842" i="31"/>
  <c r="M856" i="31"/>
  <c r="K856" i="31"/>
  <c r="I873" i="31"/>
  <c r="J907" i="31" l="1"/>
  <c r="H890" i="31"/>
  <c r="N890" i="31"/>
  <c r="I858" i="31"/>
  <c r="K841" i="31"/>
  <c r="M841" i="31"/>
  <c r="J827" i="31"/>
  <c r="N810" i="31"/>
  <c r="H810" i="31"/>
  <c r="J955" i="31"/>
  <c r="H938" i="31"/>
  <c r="N938" i="31"/>
  <c r="H858" i="31"/>
  <c r="N858" i="31"/>
  <c r="J875" i="31"/>
  <c r="H842" i="31"/>
  <c r="N842" i="31"/>
  <c r="J859" i="31"/>
  <c r="J1019" i="31"/>
  <c r="H1002" i="31"/>
  <c r="N1002" i="31"/>
  <c r="M969" i="31"/>
  <c r="K969" i="31"/>
  <c r="I986" i="31"/>
  <c r="M953" i="31"/>
  <c r="K953" i="31"/>
  <c r="I970" i="31"/>
  <c r="M857" i="31"/>
  <c r="K857" i="31"/>
  <c r="I874" i="31"/>
  <c r="M793" i="31"/>
  <c r="K793" i="31"/>
  <c r="I810" i="31"/>
  <c r="M985" i="31"/>
  <c r="K985" i="31"/>
  <c r="I1002" i="31"/>
  <c r="J843" i="31"/>
  <c r="N826" i="31"/>
  <c r="H826" i="31"/>
  <c r="I890" i="31"/>
  <c r="M873" i="31"/>
  <c r="K873" i="31"/>
  <c r="K1001" i="31"/>
  <c r="I1018" i="31"/>
  <c r="M1001" i="31"/>
  <c r="N970" i="31"/>
  <c r="J987" i="31"/>
  <c r="H970" i="31"/>
  <c r="H874" i="31"/>
  <c r="J891" i="31"/>
  <c r="N874" i="31"/>
  <c r="M889" i="31"/>
  <c r="K889" i="31"/>
  <c r="I906" i="31"/>
  <c r="K921" i="31"/>
  <c r="M921" i="31"/>
  <c r="I938" i="31"/>
  <c r="I811" i="31"/>
  <c r="K794" i="31"/>
  <c r="M794" i="31"/>
  <c r="N1033" i="31"/>
  <c r="H1033" i="31"/>
  <c r="K1033" i="31"/>
  <c r="K937" i="31"/>
  <c r="I954" i="31"/>
  <c r="M937" i="31"/>
  <c r="H954" i="31"/>
  <c r="N954" i="31"/>
  <c r="J971" i="31"/>
  <c r="J1035" i="31"/>
  <c r="H1018" i="31"/>
  <c r="N1018" i="31"/>
  <c r="I826" i="31"/>
  <c r="M809" i="31"/>
  <c r="K809" i="31"/>
  <c r="J939" i="31"/>
  <c r="H922" i="31"/>
  <c r="N922" i="31"/>
  <c r="M825" i="31"/>
  <c r="K825" i="31"/>
  <c r="I842" i="31"/>
  <c r="N906" i="31"/>
  <c r="J923" i="31"/>
  <c r="H906" i="31"/>
  <c r="J811" i="31"/>
  <c r="N794" i="31"/>
  <c r="H794" i="31"/>
  <c r="H986" i="31"/>
  <c r="J1003" i="31"/>
  <c r="N986" i="31"/>
  <c r="K905" i="31"/>
  <c r="I922" i="31"/>
  <c r="M905" i="31"/>
  <c r="I939" i="31" l="1"/>
  <c r="M922" i="31"/>
  <c r="K922" i="31"/>
  <c r="I907" i="31"/>
  <c r="K890" i="31"/>
  <c r="M890" i="31"/>
  <c r="N923" i="31"/>
  <c r="J940" i="31"/>
  <c r="H923" i="31"/>
  <c r="J1004" i="31"/>
  <c r="N987" i="31"/>
  <c r="H987" i="31"/>
  <c r="M970" i="31"/>
  <c r="K970" i="31"/>
  <c r="I987" i="31"/>
  <c r="N1019" i="31"/>
  <c r="H1019" i="31"/>
  <c r="J1036" i="31"/>
  <c r="J892" i="31"/>
  <c r="H875" i="31"/>
  <c r="N875" i="31"/>
  <c r="H827" i="31"/>
  <c r="N827" i="31"/>
  <c r="J844" i="31"/>
  <c r="M1018" i="31"/>
  <c r="I1035" i="31"/>
  <c r="K1018" i="31"/>
  <c r="I1019" i="31"/>
  <c r="K1002" i="31"/>
  <c r="M1002" i="31"/>
  <c r="I1003" i="31"/>
  <c r="M986" i="31"/>
  <c r="K986" i="31"/>
  <c r="K858" i="31"/>
  <c r="I875" i="31"/>
  <c r="M858" i="31"/>
  <c r="H1035" i="31"/>
  <c r="N1035" i="31"/>
  <c r="K811" i="31"/>
  <c r="M811" i="31"/>
  <c r="I828" i="31"/>
  <c r="K906" i="31"/>
  <c r="M906" i="31"/>
  <c r="I923" i="31"/>
  <c r="H891" i="31"/>
  <c r="N891" i="31"/>
  <c r="J908" i="31"/>
  <c r="K874" i="31"/>
  <c r="M874" i="31"/>
  <c r="I891" i="31"/>
  <c r="J876" i="31"/>
  <c r="N859" i="31"/>
  <c r="H859" i="31"/>
  <c r="N955" i="31"/>
  <c r="J972" i="31"/>
  <c r="H955" i="31"/>
  <c r="N939" i="31"/>
  <c r="H939" i="31"/>
  <c r="J956" i="31"/>
  <c r="J1020" i="31"/>
  <c r="N1003" i="31"/>
  <c r="H1003" i="31"/>
  <c r="J828" i="31"/>
  <c r="H811" i="31"/>
  <c r="N811" i="31"/>
  <c r="I859" i="31"/>
  <c r="K842" i="31"/>
  <c r="M842" i="31"/>
  <c r="K826" i="31"/>
  <c r="I843" i="31"/>
  <c r="M826" i="31"/>
  <c r="N971" i="31"/>
  <c r="J988" i="31"/>
  <c r="H971" i="31"/>
  <c r="I971" i="31"/>
  <c r="M954" i="31"/>
  <c r="K954" i="31"/>
  <c r="I955" i="31"/>
  <c r="M938" i="31"/>
  <c r="K938" i="31"/>
  <c r="N843" i="31"/>
  <c r="J860" i="31"/>
  <c r="H843" i="31"/>
  <c r="M810" i="31"/>
  <c r="K810" i="31"/>
  <c r="I827" i="31"/>
  <c r="H907" i="31"/>
  <c r="J924" i="31"/>
  <c r="N907" i="31"/>
  <c r="J1037" i="31" l="1"/>
  <c r="H1020" i="31"/>
  <c r="N1020" i="31"/>
  <c r="K1019" i="31"/>
  <c r="M1019" i="31"/>
  <c r="I1036" i="31"/>
  <c r="N940" i="31"/>
  <c r="H940" i="31"/>
  <c r="J957" i="31"/>
  <c r="M971" i="31"/>
  <c r="I988" i="31"/>
  <c r="K971" i="31"/>
  <c r="J845" i="31"/>
  <c r="H828" i="31"/>
  <c r="N828" i="31"/>
  <c r="H956" i="31"/>
  <c r="N956" i="31"/>
  <c r="J973" i="31"/>
  <c r="J989" i="31"/>
  <c r="N972" i="31"/>
  <c r="H972" i="31"/>
  <c r="N876" i="31"/>
  <c r="H876" i="31"/>
  <c r="J893" i="31"/>
  <c r="J925" i="31"/>
  <c r="H908" i="31"/>
  <c r="N908" i="31"/>
  <c r="K875" i="31"/>
  <c r="I892" i="31"/>
  <c r="M875" i="31"/>
  <c r="K1003" i="31"/>
  <c r="I1020" i="31"/>
  <c r="M1003" i="31"/>
  <c r="N892" i="31"/>
  <c r="J909" i="31"/>
  <c r="H892" i="31"/>
  <c r="K987" i="31"/>
  <c r="I1004" i="31"/>
  <c r="M987" i="31"/>
  <c r="H924" i="31"/>
  <c r="N924" i="31"/>
  <c r="J941" i="31"/>
  <c r="H844" i="31"/>
  <c r="J861" i="31"/>
  <c r="N844" i="31"/>
  <c r="N860" i="31"/>
  <c r="J877" i="31"/>
  <c r="H860" i="31"/>
  <c r="I860" i="31"/>
  <c r="K843" i="31"/>
  <c r="M843" i="31"/>
  <c r="K859" i="31"/>
  <c r="I876" i="31"/>
  <c r="M859" i="31"/>
  <c r="M891" i="31"/>
  <c r="K891" i="31"/>
  <c r="I908" i="31"/>
  <c r="K1035" i="31"/>
  <c r="M1035" i="31"/>
  <c r="N1036" i="31"/>
  <c r="H1036" i="31"/>
  <c r="H1004" i="31"/>
  <c r="N1004" i="31"/>
  <c r="J1021" i="31"/>
  <c r="I940" i="31"/>
  <c r="M923" i="31"/>
  <c r="K923" i="31"/>
  <c r="I924" i="31"/>
  <c r="M907" i="31"/>
  <c r="K907" i="31"/>
  <c r="M827" i="31"/>
  <c r="K827" i="31"/>
  <c r="I844" i="31"/>
  <c r="K955" i="31"/>
  <c r="M955" i="31"/>
  <c r="I972" i="31"/>
  <c r="H988" i="31"/>
  <c r="J1005" i="31"/>
  <c r="N988" i="31"/>
  <c r="K828" i="31"/>
  <c r="I845" i="31"/>
  <c r="M828" i="31"/>
  <c r="K939" i="31"/>
  <c r="I956" i="31"/>
  <c r="M939" i="31"/>
  <c r="I941" i="31" l="1"/>
  <c r="M924" i="31"/>
  <c r="K924" i="31"/>
  <c r="J910" i="31"/>
  <c r="H893" i="31"/>
  <c r="N893" i="31"/>
  <c r="J894" i="31"/>
  <c r="H877" i="31"/>
  <c r="N877" i="31"/>
  <c r="H909" i="31"/>
  <c r="J926" i="31"/>
  <c r="N909" i="31"/>
  <c r="J1006" i="31"/>
  <c r="H989" i="31"/>
  <c r="N989" i="31"/>
  <c r="M988" i="31"/>
  <c r="K988" i="31"/>
  <c r="I1005" i="31"/>
  <c r="M972" i="31"/>
  <c r="K972" i="31"/>
  <c r="I989" i="31"/>
  <c r="J1038" i="31"/>
  <c r="N1021" i="31"/>
  <c r="H1021" i="31"/>
  <c r="H861" i="31"/>
  <c r="J878" i="31"/>
  <c r="N861" i="31"/>
  <c r="I1037" i="31"/>
  <c r="K1020" i="31"/>
  <c r="M1020" i="31"/>
  <c r="N941" i="31"/>
  <c r="H941" i="31"/>
  <c r="J958" i="31"/>
  <c r="M1004" i="31"/>
  <c r="I1021" i="31"/>
  <c r="K1004" i="31"/>
  <c r="J990" i="31"/>
  <c r="H973" i="31"/>
  <c r="N973" i="31"/>
  <c r="K1036" i="31"/>
  <c r="M1036" i="31"/>
  <c r="M956" i="31"/>
  <c r="I973" i="31"/>
  <c r="K956" i="31"/>
  <c r="J1022" i="31"/>
  <c r="H1005" i="31"/>
  <c r="N1005" i="31"/>
  <c r="M845" i="31"/>
  <c r="K845" i="31"/>
  <c r="I862" i="31"/>
  <c r="M844" i="31"/>
  <c r="I861" i="31"/>
  <c r="K844" i="31"/>
  <c r="K940" i="31"/>
  <c r="M940" i="31"/>
  <c r="I957" i="31"/>
  <c r="I925" i="31"/>
  <c r="M908" i="31"/>
  <c r="K908" i="31"/>
  <c r="M876" i="31"/>
  <c r="K876" i="31"/>
  <c r="I893" i="31"/>
  <c r="K860" i="31"/>
  <c r="I877" i="31"/>
  <c r="M860" i="31"/>
  <c r="I909" i="31"/>
  <c r="K892" i="31"/>
  <c r="M892" i="31"/>
  <c r="N925" i="31"/>
  <c r="H925" i="31"/>
  <c r="J942" i="31"/>
  <c r="N845" i="31"/>
  <c r="J862" i="31"/>
  <c r="H845" i="31"/>
  <c r="J974" i="31"/>
  <c r="N957" i="31"/>
  <c r="H957" i="31"/>
  <c r="N1037" i="31"/>
  <c r="H1037" i="31"/>
  <c r="K1037" i="31" l="1"/>
  <c r="M1037" i="31"/>
  <c r="K973" i="31"/>
  <c r="M973" i="31"/>
  <c r="I990" i="31"/>
  <c r="M1021" i="31"/>
  <c r="K1021" i="31"/>
  <c r="I1038" i="31"/>
  <c r="H926" i="31"/>
  <c r="J943" i="31"/>
  <c r="N926" i="31"/>
  <c r="J911" i="31"/>
  <c r="H894" i="31"/>
  <c r="N894" i="31"/>
  <c r="M957" i="31"/>
  <c r="I974" i="31"/>
  <c r="K957" i="31"/>
  <c r="I926" i="31"/>
  <c r="M909" i="31"/>
  <c r="K909" i="31"/>
  <c r="M893" i="31"/>
  <c r="K893" i="31"/>
  <c r="I910" i="31"/>
  <c r="I879" i="31"/>
  <c r="M862" i="31"/>
  <c r="K862" i="31"/>
  <c r="J895" i="31"/>
  <c r="N878" i="31"/>
  <c r="H878" i="31"/>
  <c r="H1038" i="31"/>
  <c r="N1038" i="31"/>
  <c r="K1005" i="31"/>
  <c r="M1005" i="31"/>
  <c r="I1022" i="31"/>
  <c r="M877" i="31"/>
  <c r="K877" i="31"/>
  <c r="I894" i="31"/>
  <c r="I878" i="31"/>
  <c r="M861" i="31"/>
  <c r="K861" i="31"/>
  <c r="N910" i="31"/>
  <c r="J927" i="31"/>
  <c r="H910" i="31"/>
  <c r="J991" i="31"/>
  <c r="N974" i="31"/>
  <c r="H974" i="31"/>
  <c r="N942" i="31"/>
  <c r="H942" i="31"/>
  <c r="J959" i="31"/>
  <c r="H862" i="31"/>
  <c r="J879" i="31"/>
  <c r="N862" i="31"/>
  <c r="I942" i="31"/>
  <c r="K925" i="31"/>
  <c r="M925" i="31"/>
  <c r="J1039" i="31"/>
  <c r="H1022" i="31"/>
  <c r="N1022" i="31"/>
  <c r="J1007" i="31"/>
  <c r="H990" i="31"/>
  <c r="N990" i="31"/>
  <c r="H958" i="31"/>
  <c r="N958" i="31"/>
  <c r="J975" i="31"/>
  <c r="K989" i="31"/>
  <c r="I1006" i="31"/>
  <c r="M989" i="31"/>
  <c r="N1006" i="31"/>
  <c r="H1006" i="31"/>
  <c r="J1023" i="31"/>
  <c r="M941" i="31"/>
  <c r="K941" i="31"/>
  <c r="I958" i="31"/>
  <c r="H991" i="31" l="1"/>
  <c r="N991" i="31"/>
  <c r="J1008" i="31"/>
  <c r="K879" i="31"/>
  <c r="M879" i="31"/>
  <c r="I896" i="31"/>
  <c r="K974" i="31"/>
  <c r="I991" i="31"/>
  <c r="M974" i="31"/>
  <c r="N1007" i="31"/>
  <c r="H1007" i="31"/>
  <c r="J1024" i="31"/>
  <c r="H895" i="31"/>
  <c r="N895" i="31"/>
  <c r="J912" i="31"/>
  <c r="I927" i="31"/>
  <c r="M910" i="31"/>
  <c r="K910" i="31"/>
  <c r="H1039" i="31"/>
  <c r="N1039" i="31"/>
  <c r="N911" i="31"/>
  <c r="H911" i="31"/>
  <c r="J928" i="31"/>
  <c r="H1023" i="31"/>
  <c r="N1023" i="31"/>
  <c r="J1040" i="31"/>
  <c r="H927" i="31"/>
  <c r="J944" i="31"/>
  <c r="N927" i="31"/>
  <c r="M878" i="31"/>
  <c r="K878" i="31"/>
  <c r="I895" i="31"/>
  <c r="K1022" i="31"/>
  <c r="I1039" i="31"/>
  <c r="M1022" i="31"/>
  <c r="I943" i="31"/>
  <c r="M926" i="31"/>
  <c r="K926" i="31"/>
  <c r="J960" i="31"/>
  <c r="N943" i="31"/>
  <c r="H943" i="31"/>
  <c r="H975" i="31"/>
  <c r="J992" i="31"/>
  <c r="N975" i="31"/>
  <c r="M1038" i="31"/>
  <c r="K1038" i="31"/>
  <c r="N879" i="31"/>
  <c r="J896" i="31"/>
  <c r="H879" i="31"/>
  <c r="K1006" i="31"/>
  <c r="I1023" i="31"/>
  <c r="M1006" i="31"/>
  <c r="I975" i="31"/>
  <c r="K958" i="31"/>
  <c r="M958" i="31"/>
  <c r="K942" i="31"/>
  <c r="M942" i="31"/>
  <c r="I959" i="31"/>
  <c r="N959" i="31"/>
  <c r="H959" i="31"/>
  <c r="J976" i="31"/>
  <c r="I911" i="31"/>
  <c r="K894" i="31"/>
  <c r="M894" i="31"/>
  <c r="K990" i="31"/>
  <c r="M990" i="31"/>
  <c r="I1007" i="31"/>
  <c r="K895" i="31" l="1"/>
  <c r="M895" i="31"/>
  <c r="I912" i="31"/>
  <c r="M927" i="31"/>
  <c r="K927" i="31"/>
  <c r="I944" i="31"/>
  <c r="N1024" i="31"/>
  <c r="J1041" i="31"/>
  <c r="H1024" i="31"/>
  <c r="K991" i="31"/>
  <c r="M991" i="31"/>
  <c r="I1008" i="31"/>
  <c r="I1024" i="31"/>
  <c r="M1007" i="31"/>
  <c r="K1007" i="31"/>
  <c r="I1040" i="31"/>
  <c r="K1023" i="31"/>
  <c r="M1023" i="31"/>
  <c r="H992" i="31"/>
  <c r="N992" i="31"/>
  <c r="J1009" i="31"/>
  <c r="N960" i="31"/>
  <c r="J977" i="31"/>
  <c r="H960" i="31"/>
  <c r="H928" i="31"/>
  <c r="N928" i="31"/>
  <c r="J945" i="31"/>
  <c r="J929" i="31"/>
  <c r="H912" i="31"/>
  <c r="N912" i="31"/>
  <c r="J1025" i="31"/>
  <c r="N1008" i="31"/>
  <c r="H1008" i="31"/>
  <c r="N944" i="31"/>
  <c r="J961" i="31"/>
  <c r="H944" i="31"/>
  <c r="I928" i="31"/>
  <c r="K911" i="31"/>
  <c r="M911" i="31"/>
  <c r="I976" i="31"/>
  <c r="K959" i="31"/>
  <c r="M959" i="31"/>
  <c r="K1039" i="31"/>
  <c r="M1039" i="31"/>
  <c r="N1040" i="31"/>
  <c r="H1040" i="31"/>
  <c r="I913" i="31"/>
  <c r="K896" i="31"/>
  <c r="M896" i="31"/>
  <c r="N896" i="31"/>
  <c r="H896" i="31"/>
  <c r="J913" i="31"/>
  <c r="M943" i="31"/>
  <c r="K943" i="31"/>
  <c r="I960" i="31"/>
  <c r="J993" i="31"/>
  <c r="N976" i="31"/>
  <c r="H976" i="31"/>
  <c r="I992" i="31"/>
  <c r="K975" i="31"/>
  <c r="M975" i="31"/>
  <c r="N993" i="31" l="1"/>
  <c r="H993" i="31"/>
  <c r="J1010" i="31"/>
  <c r="N929" i="31"/>
  <c r="J946" i="31"/>
  <c r="H929" i="31"/>
  <c r="K1040" i="31"/>
  <c r="M1040" i="31"/>
  <c r="M1008" i="31"/>
  <c r="I1025" i="31"/>
  <c r="K1008" i="31"/>
  <c r="H1041" i="31"/>
  <c r="N1041" i="31"/>
  <c r="M992" i="31"/>
  <c r="I1009" i="31"/>
  <c r="K992" i="31"/>
  <c r="M960" i="31"/>
  <c r="K960" i="31"/>
  <c r="I977" i="31"/>
  <c r="M913" i="31"/>
  <c r="I930" i="31"/>
  <c r="K913" i="31"/>
  <c r="J978" i="31"/>
  <c r="H961" i="31"/>
  <c r="N961" i="31"/>
  <c r="H1025" i="31"/>
  <c r="N1025" i="31"/>
  <c r="J1042" i="31"/>
  <c r="H945" i="31"/>
  <c r="N945" i="31"/>
  <c r="J962" i="31"/>
  <c r="N977" i="31"/>
  <c r="H977" i="31"/>
  <c r="J994" i="31"/>
  <c r="K912" i="31"/>
  <c r="M912" i="31"/>
  <c r="I929" i="31"/>
  <c r="M944" i="31"/>
  <c r="K944" i="31"/>
  <c r="I961" i="31"/>
  <c r="H913" i="31"/>
  <c r="N913" i="31"/>
  <c r="J930" i="31"/>
  <c r="I993" i="31"/>
  <c r="K976" i="31"/>
  <c r="M976" i="31"/>
  <c r="M928" i="31"/>
  <c r="K928" i="31"/>
  <c r="I945" i="31"/>
  <c r="H1009" i="31"/>
  <c r="J1026" i="31"/>
  <c r="N1009" i="31"/>
  <c r="M1024" i="31"/>
  <c r="K1024" i="31"/>
  <c r="I1041" i="31"/>
  <c r="K1041" i="31" l="1"/>
  <c r="M1041" i="31"/>
  <c r="N1026" i="31"/>
  <c r="J1043" i="31"/>
  <c r="H1026" i="31"/>
  <c r="N930" i="31"/>
  <c r="J947" i="31"/>
  <c r="H930" i="31"/>
  <c r="N962" i="31"/>
  <c r="J979" i="31"/>
  <c r="H962" i="31"/>
  <c r="H978" i="31"/>
  <c r="J995" i="31"/>
  <c r="N978" i="31"/>
  <c r="M977" i="31"/>
  <c r="K977" i="31"/>
  <c r="I994" i="31"/>
  <c r="I1026" i="31"/>
  <c r="M1009" i="31"/>
  <c r="K1009" i="31"/>
  <c r="H1010" i="31"/>
  <c r="N1010" i="31"/>
  <c r="J1027" i="31"/>
  <c r="M993" i="31"/>
  <c r="K993" i="31"/>
  <c r="I1010" i="31"/>
  <c r="I978" i="31"/>
  <c r="M961" i="31"/>
  <c r="K961" i="31"/>
  <c r="N1042" i="31"/>
  <c r="H1042" i="31"/>
  <c r="H994" i="31"/>
  <c r="N994" i="31"/>
  <c r="J1011" i="31"/>
  <c r="K1025" i="31"/>
  <c r="M1025" i="31"/>
  <c r="I1042" i="31"/>
  <c r="M945" i="31"/>
  <c r="K945" i="31"/>
  <c r="I962" i="31"/>
  <c r="K929" i="31"/>
  <c r="I946" i="31"/>
  <c r="M929" i="31"/>
  <c r="K930" i="31"/>
  <c r="M930" i="31"/>
  <c r="I947" i="31"/>
  <c r="N946" i="31"/>
  <c r="J963" i="31"/>
  <c r="H946" i="31"/>
  <c r="I995" i="31" l="1"/>
  <c r="K978" i="31"/>
  <c r="M978" i="31"/>
  <c r="H1027" i="31"/>
  <c r="J1044" i="31"/>
  <c r="N1027" i="31"/>
  <c r="H947" i="31"/>
  <c r="N947" i="31"/>
  <c r="J964" i="31"/>
  <c r="M962" i="31"/>
  <c r="K962" i="31"/>
  <c r="I979" i="31"/>
  <c r="H1043" i="31"/>
  <c r="N1043" i="31"/>
  <c r="I963" i="31"/>
  <c r="M946" i="31"/>
  <c r="K946" i="31"/>
  <c r="N1011" i="31"/>
  <c r="H1011" i="31"/>
  <c r="J1028" i="31"/>
  <c r="K1010" i="31"/>
  <c r="I1027" i="31"/>
  <c r="M1010" i="31"/>
  <c r="K1026" i="31"/>
  <c r="M1026" i="31"/>
  <c r="I1043" i="31"/>
  <c r="J996" i="31"/>
  <c r="N979" i="31"/>
  <c r="H979" i="31"/>
  <c r="N963" i="31"/>
  <c r="H963" i="31"/>
  <c r="J980" i="31"/>
  <c r="K947" i="31"/>
  <c r="I964" i="31"/>
  <c r="M947" i="31"/>
  <c r="K1042" i="31"/>
  <c r="M1042" i="31"/>
  <c r="M994" i="31"/>
  <c r="I1011" i="31"/>
  <c r="K994" i="31"/>
  <c r="J1012" i="31"/>
  <c r="H995" i="31"/>
  <c r="N995" i="31"/>
  <c r="I1028" i="31" l="1"/>
  <c r="M1011" i="31"/>
  <c r="K1011" i="31"/>
  <c r="N996" i="31"/>
  <c r="H996" i="31"/>
  <c r="J1013" i="31"/>
  <c r="I980" i="31"/>
  <c r="K963" i="31"/>
  <c r="M963" i="31"/>
  <c r="M964" i="31"/>
  <c r="K964" i="31"/>
  <c r="I981" i="31"/>
  <c r="M1043" i="31"/>
  <c r="K1043" i="31"/>
  <c r="M1027" i="31"/>
  <c r="I1044" i="31"/>
  <c r="K1027" i="31"/>
  <c r="H980" i="31"/>
  <c r="J997" i="31"/>
  <c r="N980" i="31"/>
  <c r="N1028" i="31"/>
  <c r="J1045" i="31"/>
  <c r="H1028" i="31"/>
  <c r="K979" i="31"/>
  <c r="I996" i="31"/>
  <c r="M979" i="31"/>
  <c r="N1012" i="31"/>
  <c r="J1029" i="31"/>
  <c r="H1012" i="31"/>
  <c r="N964" i="31"/>
  <c r="H964" i="31"/>
  <c r="J981" i="31"/>
  <c r="H1044" i="31"/>
  <c r="N1044" i="31"/>
  <c r="I1012" i="31"/>
  <c r="M995" i="31"/>
  <c r="K995" i="31"/>
  <c r="K981" i="31" l="1"/>
  <c r="I998" i="31"/>
  <c r="M981" i="31"/>
  <c r="M980" i="31"/>
  <c r="K980" i="31"/>
  <c r="I997" i="31"/>
  <c r="K1012" i="31"/>
  <c r="M1012" i="31"/>
  <c r="I1029" i="31"/>
  <c r="H1045" i="31"/>
  <c r="N1045" i="31"/>
  <c r="N1013" i="31"/>
  <c r="J1030" i="31"/>
  <c r="H1013" i="31"/>
  <c r="N981" i="31"/>
  <c r="J998" i="31"/>
  <c r="H981" i="31"/>
  <c r="N1029" i="31"/>
  <c r="H1029" i="31"/>
  <c r="J1046" i="31"/>
  <c r="M1044" i="31"/>
  <c r="K1044" i="31"/>
  <c r="H997" i="31"/>
  <c r="N997" i="31"/>
  <c r="J1014" i="31"/>
  <c r="M996" i="31"/>
  <c r="K996" i="31"/>
  <c r="I1013" i="31"/>
  <c r="K1028" i="31"/>
  <c r="I1045" i="31"/>
  <c r="M1028" i="31"/>
  <c r="N1046" i="31" l="1"/>
  <c r="H1046" i="31"/>
  <c r="M1045" i="31"/>
  <c r="K1045" i="31"/>
  <c r="M997" i="31"/>
  <c r="K997" i="31"/>
  <c r="I1014" i="31"/>
  <c r="I1015" i="31"/>
  <c r="K998" i="31"/>
  <c r="M998" i="31"/>
  <c r="I1030" i="31"/>
  <c r="K1013" i="31"/>
  <c r="M1013" i="31"/>
  <c r="J1015" i="31"/>
  <c r="H998" i="31"/>
  <c r="N998" i="31"/>
  <c r="H1014" i="31"/>
  <c r="J1031" i="31"/>
  <c r="N1014" i="31"/>
  <c r="N1030" i="31"/>
  <c r="J1047" i="31"/>
  <c r="H1030" i="31"/>
  <c r="K1029" i="31"/>
  <c r="M1029" i="31"/>
  <c r="I1046" i="31"/>
  <c r="M1030" i="31" l="1"/>
  <c r="I1047" i="31"/>
  <c r="K1030" i="31"/>
  <c r="K1014" i="31"/>
  <c r="M1014" i="31"/>
  <c r="I1031" i="31"/>
  <c r="M1015" i="31"/>
  <c r="K1015" i="31"/>
  <c r="I1032" i="31"/>
  <c r="N1031" i="31"/>
  <c r="J1048" i="31"/>
  <c r="H1031" i="31"/>
  <c r="H1015" i="31"/>
  <c r="J1032" i="31"/>
  <c r="N1015" i="31"/>
  <c r="K1046" i="31"/>
  <c r="M1046" i="31"/>
  <c r="H1047" i="31"/>
  <c r="N1047" i="31"/>
  <c r="H1032" i="31" l="1"/>
  <c r="N1032" i="31"/>
  <c r="K1031" i="31"/>
  <c r="M1031" i="31"/>
  <c r="I1048" i="31"/>
  <c r="K1047" i="31"/>
  <c r="M1047" i="31"/>
  <c r="H1048" i="31"/>
  <c r="N1048" i="31"/>
  <c r="M1032" i="31"/>
  <c r="K1032" i="31"/>
  <c r="M1048" i="31" l="1"/>
  <c r="K1048" i="31"/>
</calcChain>
</file>

<file path=xl/comments1.xml><?xml version="1.0" encoding="utf-8"?>
<comments xmlns="http://schemas.openxmlformats.org/spreadsheetml/2006/main">
  <authors>
    <author>Scott Conrad</author>
  </authors>
  <commentList>
    <comment ref="F57" authorId="0">
      <text>
        <r>
          <rPr>
            <b/>
            <sz val="9"/>
            <color indexed="81"/>
            <rFont val="Tahoma"/>
            <family val="2"/>
          </rPr>
          <t>Scott Conrad:</t>
        </r>
        <r>
          <rPr>
            <sz val="9"/>
            <color indexed="81"/>
            <rFont val="Tahoma"/>
            <family val="2"/>
          </rPr>
          <t xml:space="preserve">
should probably be an error, but rounding up/down to nearest integer.</t>
        </r>
      </text>
    </comment>
    <comment ref="D72" authorId="0">
      <text>
        <r>
          <rPr>
            <b/>
            <sz val="9"/>
            <color indexed="81"/>
            <rFont val="Tahoma"/>
            <family val="2"/>
          </rPr>
          <t>Scott Conrad:</t>
        </r>
        <r>
          <rPr>
            <sz val="9"/>
            <color indexed="81"/>
            <rFont val="Tahoma"/>
            <family val="2"/>
          </rPr>
          <t xml:space="preserve">
would expect this</t>
        </r>
      </text>
    </comment>
    <comment ref="D75" authorId="0">
      <text>
        <r>
          <rPr>
            <b/>
            <sz val="9"/>
            <color indexed="81"/>
            <rFont val="Tahoma"/>
            <family val="2"/>
          </rPr>
          <t>Scott Conrad:</t>
        </r>
        <r>
          <rPr>
            <sz val="9"/>
            <color indexed="81"/>
            <rFont val="Tahoma"/>
            <family val="2"/>
          </rPr>
          <t xml:space="preserve">
really would expect .6605 (treating n/a like a 0).</t>
        </r>
      </text>
    </comment>
  </commentList>
</comments>
</file>

<file path=xl/sharedStrings.xml><?xml version="1.0" encoding="utf-8"?>
<sst xmlns="http://schemas.openxmlformats.org/spreadsheetml/2006/main" count="143" uniqueCount="71">
  <si>
    <t>Exposure</t>
  </si>
  <si>
    <t>Method</t>
  </si>
  <si>
    <t>Beg Period</t>
  </si>
  <si>
    <t>End Period</t>
  </si>
  <si>
    <t>Policy Year</t>
  </si>
  <si>
    <t>Beginning</t>
  </si>
  <si>
    <t/>
  </si>
  <si>
    <t>Loss Cost</t>
  </si>
  <si>
    <t>policy years beginning</t>
  </si>
  <si>
    <t>Original</t>
  </si>
  <si>
    <t>ExpAvg</t>
  </si>
  <si>
    <t>Revised</t>
  </si>
  <si>
    <t>Excl. Yrs</t>
  </si>
  <si>
    <t>Sample LCs</t>
  </si>
  <si>
    <t>Unit</t>
  </si>
  <si>
    <t>Argument Inputs</t>
  </si>
  <si>
    <t>Periods Included</t>
  </si>
  <si>
    <t>Averages</t>
  </si>
  <si>
    <t># of yrs in Avg</t>
  </si>
  <si>
    <t>Avg()</t>
  </si>
  <si>
    <t>Check</t>
  </si>
  <si>
    <t>Current</t>
  </si>
  <si>
    <t xml:space="preserve">The arguments for NumYears and ExclYears seem a little a confusing, but do follow the arguments used in one of our current functions (Avg()).  I could see changing the </t>
  </si>
  <si>
    <t xml:space="preserve">NumYears argument to be BegPeriod; equivalent to BegPeriod in our sheets (EarliestPeriod including the current period counting backward).  And changing ExclYears to </t>
  </si>
  <si>
    <t>the number of years included would change.</t>
  </si>
  <si>
    <t>EndPeriod (LatestPeriod) to match the inputs commonly used in our sheets.  Additionally, this would also be useful if incorporating exclHi/Lo (as suggested below), since</t>
  </si>
  <si>
    <t>Weighted Averages</t>
  </si>
  <si>
    <t>I would suggest allowing different optional arguments to provide other commonly used averages in our Methods, such as straight average and average excluding hi/lo.  In</t>
  </si>
  <si>
    <t xml:space="preserve">addition, make the average weights (exposures/counts) an optional argument.  </t>
  </si>
  <si>
    <t>Weighted Avg</t>
  </si>
  <si>
    <t>Average Type</t>
  </si>
  <si>
    <t>Straight Avg</t>
  </si>
  <si>
    <t>n/a</t>
  </si>
  <si>
    <t>Excl. Hi/Lo</t>
  </si>
  <si>
    <t>Wtd Excl. Hi/Lo</t>
  </si>
  <si>
    <t>OW Function</t>
  </si>
  <si>
    <t>Arrays are not the same number of rows:</t>
  </si>
  <si>
    <t>End period is greater than the Beg Period:</t>
  </si>
  <si>
    <t>Beg Period is not an integer:</t>
  </si>
  <si>
    <t>End Period is not an integer (should probably be an error):</t>
  </si>
  <si>
    <t>Beg Period or End Period is less than 1:</t>
  </si>
  <si>
    <t>Error</t>
  </si>
  <si>
    <t>LC Group 1</t>
  </si>
  <si>
    <t>LC Group 2</t>
  </si>
  <si>
    <t>Used range only has 0  or n/a weights:</t>
  </si>
  <si>
    <t>LC</t>
  </si>
  <si>
    <t>Used range only has 0 values:</t>
  </si>
  <si>
    <t>Used range only has n/a Values:</t>
  </si>
  <si>
    <t>Used range only has some 0 values:</t>
  </si>
  <si>
    <t>Used range only has mix of 0, non-zero, and n/a values:</t>
  </si>
  <si>
    <t>Used range only has some 0 weights:</t>
  </si>
  <si>
    <t>Used range only has some n/a weights:</t>
  </si>
  <si>
    <t>Used range only has some n/a values:</t>
  </si>
  <si>
    <t xml:space="preserve">The expAvg function sometimes gives values when an error would be expected or not the expected answer.  Adjust the function to produce the correct answer (sometimes  </t>
  </si>
  <si>
    <t>an error or an error message).  The revised ExpAvg gives the response that I would expect for all but (4).  Below are the places the two versions differ:</t>
  </si>
  <si>
    <t>LC2</t>
  </si>
  <si>
    <t>Used range only has mix of 0, non-zero, and n/a weights (Both functions yield same result:</t>
  </si>
  <si>
    <t xml:space="preserve">The original ExpAvg function copies down slower than the other methods.  I'm not sure if it will be an issue.  I know the avg will not be copied to many cells, but not sure </t>
  </si>
  <si>
    <t>how it will handle being in a lot of open workbooks.  (Note:  I tried copying the function on an earlier date and it took a bit longer to perform.  Now it is working a lot better, so</t>
  </si>
  <si>
    <t>may not be much of an issue.  Could have occurred due to me stepping through the function.)</t>
  </si>
  <si>
    <t>Try testing it out copying down a few hundred rows.  Like I said not that much slower, but not sure how it handles a lot of Workbooks.</t>
  </si>
  <si>
    <t>I don't like the BegPeriod and EndPeriod structure as I think this makes the function confusing in the applicatoins we would use it for.</t>
  </si>
  <si>
    <t>It requires us to create new variables to get beginning and ending period when I these are not already calculated in most cases.</t>
  </si>
  <si>
    <t>I think it is easier to follow if we are excluding a number of years and allowing to only include a number of years.</t>
  </si>
  <si>
    <t>Something I often see is "10 year weighted average excluding latest" and the numYear and exclYears arguments flow intuitively from the title</t>
  </si>
  <si>
    <t>The beg period and end period arguments would require an additional step to figure out the rows that would be needed.</t>
  </si>
  <si>
    <t>This would also require the formulas to be slightly awkward as we would have to adjust the beg/end period argument if you allow the formula to extend past the last data point</t>
  </si>
  <si>
    <t>Also, the # of years used is usually calculated already when we use the beg/end period inputs on page, so I think it is logical to keep as is.</t>
  </si>
  <si>
    <t>Can change to make weights optional, but the whole point of this function is for weighted average. I don't ever see us do a weighted average excluding high/low.</t>
  </si>
  <si>
    <t>I'm not even sure what this would be. Is it excluding the high/low value, or is it excluding the high/low weight?</t>
  </si>
  <si>
    <t>I don't think the point of this is to replace avg() though, it is merely to add another option to avoid sumproduct() / sum() formulas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</si>
</sst>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;;;"/>
    <numFmt numFmtId="165" formatCode="0.0%"/>
    <numFmt numFmtId="166" formatCode="m/d/yy;@"/>
    <numFmt numFmtId="167" formatCode="#,##0.0000_);[Red]\(#,##0.0000\)"/>
    <numFmt numFmtId="168" formatCode="\(#\)"/>
  </numFmts>
  <fonts count="13" x14ac:knownFonts="1">
    <font>
      <sz val="10"/>
      <name val="Courier New"/>
    </font>
    <font>
      <sz val="10"/>
      <name val="Courier New"/>
      <family val="3"/>
    </font>
    <font>
      <sz val="10"/>
      <name val="Arial"/>
      <family val="2"/>
    </font>
    <font>
      <sz val="8"/>
      <name val="Courier New"/>
      <family val="3"/>
    </font>
    <font>
      <sz val="10"/>
      <color rgb="FFFF0000"/>
      <name val="Arial"/>
      <family val="2"/>
    </font>
    <font>
      <b/>
      <sz val="10"/>
      <name val="Arial"/>
      <family val="2"/>
    </font>
    <font>
      <sz val="16"/>
      <name val="Arial"/>
      <family val="2"/>
    </font>
    <font>
      <b/>
      <sz val="16"/>
      <name val="Arial"/>
      <family val="2"/>
    </font>
    <font>
      <sz val="10"/>
      <color indexed="12"/>
      <name val="Arial"/>
      <family val="2"/>
    </font>
    <font>
      <b/>
      <i/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41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" xfId="0" applyFont="1" applyBorder="1" applyAlignment="1">
      <alignment horizontal="center"/>
    </xf>
    <xf numFmtId="0" fontId="2" fillId="0" borderId="0" xfId="0" applyFont="1" applyBorder="1"/>
    <xf numFmtId="0" fontId="2" fillId="0" borderId="0" xfId="0" quotePrefix="1" applyFont="1" applyBorder="1" applyAlignment="1">
      <alignment horizontal="left"/>
    </xf>
    <xf numFmtId="0" fontId="6" fillId="0" borderId="0" xfId="0" applyFont="1"/>
    <xf numFmtId="0" fontId="7" fillId="0" borderId="0" xfId="0" applyFont="1" applyAlignment="1">
      <alignment horizontal="centerContinuous"/>
    </xf>
    <xf numFmtId="0" fontId="6" fillId="0" borderId="0" xfId="0" applyFont="1" applyAlignment="1">
      <alignment horizontal="centerContinuous"/>
    </xf>
    <xf numFmtId="0" fontId="5" fillId="0" borderId="0" xfId="0" applyFont="1"/>
    <xf numFmtId="14" fontId="2" fillId="0" borderId="1" xfId="0" applyNumberFormat="1" applyFont="1" applyBorder="1" applyAlignment="1">
      <alignment horizontal="center"/>
    </xf>
    <xf numFmtId="38" fontId="2" fillId="0" borderId="0" xfId="0" applyNumberFormat="1" applyFont="1"/>
    <xf numFmtId="165" fontId="2" fillId="0" borderId="0" xfId="1" applyNumberFormat="1" applyFont="1"/>
    <xf numFmtId="0" fontId="2" fillId="0" borderId="0" xfId="0" applyFont="1" applyFill="1"/>
    <xf numFmtId="14" fontId="2" fillId="0" borderId="0" xfId="0" applyNumberFormat="1" applyFont="1" applyBorder="1" applyAlignment="1">
      <alignment horizontal="center"/>
    </xf>
    <xf numFmtId="166" fontId="2" fillId="0" borderId="0" xfId="0" applyNumberFormat="1" applyFont="1" applyAlignment="1">
      <alignment horizontal="center"/>
    </xf>
    <xf numFmtId="40" fontId="2" fillId="0" borderId="0" xfId="0" applyNumberFormat="1" applyFont="1"/>
    <xf numFmtId="0" fontId="2" fillId="0" borderId="0" xfId="0" applyFont="1" applyFill="1" applyBorder="1"/>
    <xf numFmtId="40" fontId="2" fillId="0" borderId="0" xfId="0" applyNumberFormat="1" applyFont="1" applyFill="1"/>
    <xf numFmtId="0" fontId="2" fillId="0" borderId="0" xfId="0" applyFont="1" applyBorder="1" applyAlignment="1">
      <alignment horizontal="center"/>
    </xf>
    <xf numFmtId="0" fontId="9" fillId="0" borderId="0" xfId="0" applyFont="1" applyAlignment="1">
      <alignment horizontal="left"/>
    </xf>
    <xf numFmtId="164" fontId="2" fillId="0" borderId="0" xfId="0" applyNumberFormat="1" applyFont="1" applyAlignment="1">
      <alignment horizontal="center"/>
    </xf>
    <xf numFmtId="0" fontId="2" fillId="0" borderId="0" xfId="0" applyNumberFormat="1" applyFont="1" applyAlignment="1">
      <alignment horizontal="center"/>
    </xf>
    <xf numFmtId="0" fontId="2" fillId="0" borderId="1" xfId="0" quotePrefix="1" applyNumberFormat="1" applyFont="1" applyBorder="1" applyAlignment="1">
      <alignment horizontal="center"/>
    </xf>
    <xf numFmtId="0" fontId="8" fillId="0" borderId="0" xfId="0" applyFont="1" applyFill="1" applyBorder="1"/>
    <xf numFmtId="167" fontId="2" fillId="0" borderId="0" xfId="0" applyNumberFormat="1" applyFont="1"/>
    <xf numFmtId="167" fontId="2" fillId="0" borderId="0" xfId="0" applyNumberFormat="1" applyFont="1" applyAlignment="1">
      <alignment horizontal="right"/>
    </xf>
    <xf numFmtId="168" fontId="5" fillId="0" borderId="0" xfId="0" applyNumberFormat="1" applyFont="1"/>
    <xf numFmtId="0" fontId="2" fillId="0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Continuous"/>
    </xf>
    <xf numFmtId="0" fontId="2" fillId="0" borderId="0" xfId="0" applyFont="1" applyAlignment="1">
      <alignment horizontal="right"/>
    </xf>
    <xf numFmtId="165" fontId="2" fillId="0" borderId="0" xfId="1" applyNumberFormat="1" applyFont="1" applyAlignment="1">
      <alignment horizontal="right"/>
    </xf>
    <xf numFmtId="167" fontId="2" fillId="0" borderId="0" xfId="0" applyNumberFormat="1" applyFont="1" applyAlignment="1">
      <alignment horizontal="right" wrapText="1"/>
    </xf>
    <xf numFmtId="167" fontId="2" fillId="0" borderId="0" xfId="0" applyNumberFormat="1" applyFont="1" applyAlignment="1">
      <alignment horizontal="center" wrapText="1"/>
    </xf>
    <xf numFmtId="40" fontId="2" fillId="0" borderId="0" xfId="0" applyNumberFormat="1" applyFont="1" applyAlignment="1">
      <alignment horizontal="right"/>
    </xf>
    <xf numFmtId="167" fontId="4" fillId="0" borderId="0" xfId="0" applyNumberFormat="1" applyFont="1"/>
    <xf numFmtId="167" fontId="2" fillId="0" borderId="0" xfId="0" applyNumberFormat="1" applyFont="1" applyAlignment="1">
      <alignment horizontal="right" vertical="center" wrapText="1"/>
    </xf>
    <xf numFmtId="167" fontId="2" fillId="2" borderId="0" xfId="0" applyNumberFormat="1" applyFont="1" applyFill="1"/>
    <xf numFmtId="167" fontId="2" fillId="2" borderId="0" xfId="0" applyNumberFormat="1" applyFont="1" applyFill="1" applyAlignment="1">
      <alignment horizontal="right"/>
    </xf>
    <xf numFmtId="167" fontId="2" fillId="2" borderId="0" xfId="0" quotePrefix="1" applyNumberFormat="1" applyFont="1" applyFill="1"/>
    <xf numFmtId="0" fontId="12" fillId="0" borderId="0" xfId="0" applyFont="1"/>
  </cellXfs>
  <cellStyles count="4">
    <cellStyle name="Normal" xfId="0" builtinId="0"/>
    <cellStyle name="Normal 2" xfId="2"/>
    <cellStyle name="Percent" xfId="1" builtinId="5"/>
    <cellStyle name="Percent 2" xfId="3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  <rgbColor rgb="00999999"/>
    </indexedColors>
    <mruColors>
      <color rgb="FFFFFF99"/>
      <color rgb="FF0000FF"/>
      <color rgb="FFDDDDDD"/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Library" Target="Function.xla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ettleFunc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Rel"/>
    </sheetNames>
    <definedNames>
      <definedName name="avg"/>
    </definedNames>
    <sheetDataSet>
      <sheetData sheetId="0"/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expavg"/>
      <definedName name="expavg2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pageSetUpPr fitToPage="1"/>
  </sheetPr>
  <dimension ref="A1:AM1633"/>
  <sheetViews>
    <sheetView tabSelected="1" zoomScale="110" zoomScaleNormal="110" workbookViewId="0"/>
  </sheetViews>
  <sheetFormatPr defaultColWidth="9" defaultRowHeight="12.75" x14ac:dyDescent="0.2"/>
  <cols>
    <col min="1" max="1" width="9" style="2"/>
    <col min="2" max="5" width="13.25" style="2" customWidth="1"/>
    <col min="6" max="6" width="35.25" style="2" customWidth="1"/>
    <col min="7" max="7" width="5.25" style="2" customWidth="1"/>
    <col min="8" max="11" width="13.25" style="2" customWidth="1"/>
    <col min="12" max="12" width="4.75" style="2" customWidth="1"/>
    <col min="13" max="15" width="13.25" style="2" customWidth="1"/>
    <col min="16" max="16" width="12.375" style="2" customWidth="1"/>
    <col min="17" max="17" width="2.25" style="2" customWidth="1"/>
    <col min="18" max="18" width="12.375" style="2" customWidth="1"/>
    <col min="19" max="19" width="2.25" style="2" customWidth="1"/>
    <col min="20" max="20" width="12.375" style="2" customWidth="1"/>
    <col min="21" max="21" width="2.25" style="2" customWidth="1"/>
    <col min="22" max="22" width="12.375" style="2" customWidth="1"/>
    <col min="23" max="23" width="2.25" style="2" customWidth="1"/>
    <col min="24" max="24" width="12.375" style="2" customWidth="1"/>
    <col min="25" max="25" width="2.25" style="2" customWidth="1"/>
    <col min="26" max="26" width="12.375" style="2" customWidth="1"/>
    <col min="27" max="27" width="9" style="2"/>
    <col min="28" max="28" width="11.375" style="2" customWidth="1"/>
    <col min="29" max="16384" width="9" style="2"/>
  </cols>
  <sheetData>
    <row r="1" spans="1:37" x14ac:dyDescent="0.2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5"/>
      <c r="V1" s="5"/>
      <c r="W1" s="5"/>
      <c r="X1" s="4"/>
      <c r="Y1" s="4"/>
      <c r="Z1" s="4"/>
    </row>
    <row r="2" spans="1:37" s="6" customFormat="1" ht="20.25" x14ac:dyDescent="0.3">
      <c r="P2" s="7" t="s">
        <v>13</v>
      </c>
      <c r="Q2" s="8"/>
      <c r="R2" s="8"/>
      <c r="S2" s="8"/>
      <c r="T2" s="8"/>
      <c r="U2" s="8"/>
      <c r="V2" s="8"/>
      <c r="W2" s="8"/>
      <c r="X2" s="8"/>
      <c r="Y2" s="8"/>
      <c r="Z2" s="8"/>
    </row>
    <row r="3" spans="1:37" x14ac:dyDescent="0.2">
      <c r="P3" s="20"/>
    </row>
    <row r="4" spans="1:37" x14ac:dyDescent="0.2">
      <c r="A4" s="27">
        <f>MAX($A$1:A3)+1</f>
        <v>1</v>
      </c>
      <c r="B4" s="9" t="s">
        <v>22</v>
      </c>
      <c r="P4" s="21" t="s">
        <v>8</v>
      </c>
      <c r="R4" s="1"/>
      <c r="Z4" s="1"/>
    </row>
    <row r="5" spans="1:37" x14ac:dyDescent="0.2">
      <c r="B5" s="9" t="s">
        <v>23</v>
      </c>
      <c r="P5" s="14" t="s">
        <v>6</v>
      </c>
      <c r="R5" s="29" t="s">
        <v>42</v>
      </c>
      <c r="S5" s="29"/>
      <c r="T5" s="29"/>
      <c r="V5" s="29" t="s">
        <v>43</v>
      </c>
      <c r="W5" s="29"/>
      <c r="X5" s="29"/>
      <c r="Y5" s="29"/>
      <c r="Z5" s="29"/>
    </row>
    <row r="6" spans="1:37" x14ac:dyDescent="0.2">
      <c r="B6" s="9" t="s">
        <v>25</v>
      </c>
      <c r="P6" s="14" t="s">
        <v>4</v>
      </c>
      <c r="R6" s="22" t="s">
        <v>0</v>
      </c>
      <c r="T6" s="19"/>
      <c r="V6" s="22" t="s">
        <v>0</v>
      </c>
      <c r="X6" s="19"/>
      <c r="Z6" s="1"/>
    </row>
    <row r="7" spans="1:37" x14ac:dyDescent="0.2">
      <c r="B7" s="9" t="s">
        <v>24</v>
      </c>
      <c r="P7" s="10" t="s">
        <v>5</v>
      </c>
      <c r="R7" s="23" t="s">
        <v>14</v>
      </c>
      <c r="T7" s="3" t="s">
        <v>7</v>
      </c>
      <c r="V7" s="23" t="s">
        <v>14</v>
      </c>
      <c r="X7" s="3" t="s">
        <v>45</v>
      </c>
      <c r="Z7" s="3" t="s">
        <v>55</v>
      </c>
    </row>
    <row r="8" spans="1:37" x14ac:dyDescent="0.2">
      <c r="B8" s="40" t="s">
        <v>61</v>
      </c>
      <c r="Z8" s="1"/>
    </row>
    <row r="9" spans="1:37" x14ac:dyDescent="0.2">
      <c r="B9" s="40" t="s">
        <v>62</v>
      </c>
      <c r="P9" s="15">
        <v>36191</v>
      </c>
      <c r="R9" s="11">
        <v>2144674</v>
      </c>
      <c r="S9" s="16"/>
      <c r="T9" s="16">
        <v>0.58170233937652061</v>
      </c>
      <c r="V9" s="11">
        <v>0</v>
      </c>
      <c r="W9" s="16"/>
      <c r="X9" s="34" t="s">
        <v>32</v>
      </c>
      <c r="Y9" s="16"/>
      <c r="Z9" s="11">
        <v>0</v>
      </c>
      <c r="AD9" s="13"/>
      <c r="AE9" s="13"/>
      <c r="AF9" s="13"/>
      <c r="AG9" s="13"/>
      <c r="AH9" s="13"/>
    </row>
    <row r="10" spans="1:37" x14ac:dyDescent="0.2">
      <c r="B10" s="40" t="s">
        <v>63</v>
      </c>
      <c r="P10" s="15">
        <f>EDATE(P9+1,12)-1</f>
        <v>36556</v>
      </c>
      <c r="R10" s="11">
        <v>2269695</v>
      </c>
      <c r="S10" s="16"/>
      <c r="T10" s="16">
        <v>0.83401311321565219</v>
      </c>
      <c r="V10" s="11">
        <v>2269695</v>
      </c>
      <c r="W10" s="16"/>
      <c r="X10" s="16">
        <f t="shared" ref="X10:X14" si="0">T10</f>
        <v>0.83401311321565219</v>
      </c>
      <c r="Y10" s="16"/>
      <c r="Z10" s="16">
        <f>T10</f>
        <v>0.83401311321565219</v>
      </c>
      <c r="AD10" s="13"/>
      <c r="AE10" s="13"/>
      <c r="AF10" s="13"/>
      <c r="AG10" s="13"/>
      <c r="AH10" s="13"/>
    </row>
    <row r="11" spans="1:37" x14ac:dyDescent="0.2">
      <c r="B11" s="40" t="s">
        <v>64</v>
      </c>
      <c r="P11" s="15">
        <f t="shared" ref="P11:P26" si="1">EDATE(P10+1,12)-1</f>
        <v>36922</v>
      </c>
      <c r="Q11" s="4"/>
      <c r="R11" s="11">
        <v>2446919</v>
      </c>
      <c r="S11" s="16"/>
      <c r="T11" s="16">
        <v>0.77548858748491467</v>
      </c>
      <c r="V11" s="11">
        <v>2446919</v>
      </c>
      <c r="W11" s="16"/>
      <c r="X11" s="16">
        <f t="shared" si="0"/>
        <v>0.77548858748491467</v>
      </c>
      <c r="Y11" s="16"/>
      <c r="Z11" s="16">
        <f t="shared" ref="Z11:Z23" si="2">T11</f>
        <v>0.77548858748491467</v>
      </c>
      <c r="AD11" s="13"/>
      <c r="AE11" s="13"/>
      <c r="AF11" s="13"/>
      <c r="AG11" s="13"/>
      <c r="AH11" s="13"/>
    </row>
    <row r="12" spans="1:37" x14ac:dyDescent="0.2">
      <c r="B12" s="40" t="s">
        <v>65</v>
      </c>
      <c r="P12" s="15">
        <f t="shared" si="1"/>
        <v>37287</v>
      </c>
      <c r="R12" s="11">
        <v>2264900</v>
      </c>
      <c r="S12" s="16"/>
      <c r="T12" s="16">
        <v>0.63400966146710203</v>
      </c>
      <c r="V12" s="11">
        <v>2264900</v>
      </c>
      <c r="W12" s="16"/>
      <c r="X12" s="16">
        <f t="shared" si="0"/>
        <v>0.63400966146710203</v>
      </c>
      <c r="Y12" s="16"/>
      <c r="Z12" s="16">
        <f t="shared" si="2"/>
        <v>0.63400966146710203</v>
      </c>
      <c r="AD12" s="13"/>
      <c r="AE12" s="13"/>
      <c r="AF12" s="13"/>
      <c r="AG12" s="13"/>
      <c r="AH12" s="13"/>
      <c r="AI12" s="4"/>
    </row>
    <row r="13" spans="1:37" x14ac:dyDescent="0.2">
      <c r="B13" s="40" t="s">
        <v>66</v>
      </c>
      <c r="P13" s="15">
        <f t="shared" si="1"/>
        <v>37652</v>
      </c>
      <c r="R13" s="11">
        <v>2302735</v>
      </c>
      <c r="S13" s="16"/>
      <c r="T13" s="16">
        <v>0.52267412863180895</v>
      </c>
      <c r="V13" s="11">
        <v>2302735</v>
      </c>
      <c r="W13" s="16"/>
      <c r="X13" s="16">
        <f t="shared" si="0"/>
        <v>0.52267412863180895</v>
      </c>
      <c r="Y13" s="16"/>
      <c r="Z13" s="16">
        <f t="shared" si="2"/>
        <v>0.52267412863180895</v>
      </c>
      <c r="AD13" s="13"/>
      <c r="AE13" s="13"/>
      <c r="AF13" s="13"/>
      <c r="AG13" s="13"/>
      <c r="AH13" s="13"/>
    </row>
    <row r="14" spans="1:37" s="4" customFormat="1" x14ac:dyDescent="0.2">
      <c r="B14" s="40" t="s">
        <v>67</v>
      </c>
      <c r="P14" s="15">
        <f t="shared" si="1"/>
        <v>38017</v>
      </c>
      <c r="Q14" s="2"/>
      <c r="R14" s="11">
        <v>2954700</v>
      </c>
      <c r="S14" s="16"/>
      <c r="T14" s="16">
        <v>0.66047890937354836</v>
      </c>
      <c r="V14" s="11">
        <v>2954700</v>
      </c>
      <c r="W14" s="16"/>
      <c r="X14" s="16">
        <f t="shared" si="0"/>
        <v>0.66047890937354836</v>
      </c>
      <c r="Y14" s="16"/>
      <c r="Z14" s="16">
        <f t="shared" si="2"/>
        <v>0.66047890937354836</v>
      </c>
      <c r="AA14" s="2"/>
      <c r="AB14" s="2"/>
      <c r="AC14" s="2"/>
      <c r="AD14" s="17"/>
      <c r="AE14" s="17"/>
      <c r="AF14" s="17"/>
      <c r="AG14" s="17"/>
      <c r="AH14" s="17"/>
      <c r="AI14" s="2"/>
      <c r="AJ14" s="2"/>
      <c r="AK14" s="2"/>
    </row>
    <row r="15" spans="1:37" x14ac:dyDescent="0.2">
      <c r="P15" s="15">
        <f t="shared" si="1"/>
        <v>38383</v>
      </c>
      <c r="R15" s="11">
        <v>3657844.0952500002</v>
      </c>
      <c r="S15" s="16"/>
      <c r="T15" s="16">
        <v>0.71676302191958974</v>
      </c>
      <c r="V15" s="11">
        <v>3657844.0952500002</v>
      </c>
      <c r="W15" s="16"/>
      <c r="X15" s="34" t="s">
        <v>32</v>
      </c>
      <c r="Y15" s="16"/>
      <c r="Z15" s="16">
        <f t="shared" si="2"/>
        <v>0.71676302191958974</v>
      </c>
      <c r="AD15" s="13"/>
      <c r="AE15" s="13"/>
      <c r="AF15" s="13"/>
      <c r="AG15" s="13"/>
      <c r="AH15" s="13"/>
    </row>
    <row r="16" spans="1:37" x14ac:dyDescent="0.2">
      <c r="C16" s="29" t="s">
        <v>26</v>
      </c>
      <c r="D16" s="29"/>
      <c r="E16" s="29"/>
      <c r="F16" s="29"/>
      <c r="P16" s="15">
        <f t="shared" si="1"/>
        <v>38748</v>
      </c>
      <c r="R16" s="11">
        <v>3800559</v>
      </c>
      <c r="S16" s="16"/>
      <c r="T16" s="16">
        <v>0.73955412655276431</v>
      </c>
      <c r="V16" s="11">
        <v>3800559</v>
      </c>
      <c r="W16" s="16"/>
      <c r="X16" s="34" t="s">
        <v>32</v>
      </c>
      <c r="Y16" s="16"/>
      <c r="Z16" s="16">
        <f t="shared" si="2"/>
        <v>0.73955412655276431</v>
      </c>
      <c r="AD16" s="13"/>
      <c r="AE16" s="13"/>
      <c r="AF16" s="13"/>
      <c r="AG16" s="13"/>
      <c r="AH16" s="13"/>
    </row>
    <row r="17" spans="1:37" x14ac:dyDescent="0.2">
      <c r="C17" s="1" t="s">
        <v>35</v>
      </c>
      <c r="D17" s="1" t="s">
        <v>21</v>
      </c>
      <c r="E17" s="1" t="s">
        <v>9</v>
      </c>
      <c r="F17" s="1" t="s">
        <v>11</v>
      </c>
      <c r="H17" s="29" t="s">
        <v>15</v>
      </c>
      <c r="I17" s="29"/>
      <c r="J17" s="29"/>
      <c r="K17" s="29"/>
      <c r="M17" s="29" t="s">
        <v>16</v>
      </c>
      <c r="N17" s="29"/>
      <c r="P17" s="15">
        <f t="shared" si="1"/>
        <v>39113</v>
      </c>
      <c r="R17" s="11">
        <v>3476459</v>
      </c>
      <c r="S17" s="16"/>
      <c r="T17" s="16">
        <v>0.5587452108731924</v>
      </c>
      <c r="V17" s="11">
        <v>3476459</v>
      </c>
      <c r="W17" s="16"/>
      <c r="X17" s="34" t="s">
        <v>32</v>
      </c>
      <c r="Y17" s="16"/>
      <c r="Z17" s="16">
        <f t="shared" si="2"/>
        <v>0.5587452108731924</v>
      </c>
      <c r="AD17" s="13"/>
      <c r="AE17" s="13"/>
      <c r="AF17" s="13"/>
      <c r="AG17" s="13"/>
      <c r="AH17" s="13"/>
    </row>
    <row r="18" spans="1:37" x14ac:dyDescent="0.2">
      <c r="C18" s="28" t="s">
        <v>19</v>
      </c>
      <c r="D18" s="28" t="s">
        <v>1</v>
      </c>
      <c r="E18" s="28" t="s">
        <v>10</v>
      </c>
      <c r="F18" s="28" t="s">
        <v>10</v>
      </c>
      <c r="H18" s="28" t="s">
        <v>12</v>
      </c>
      <c r="I18" s="28" t="s">
        <v>2</v>
      </c>
      <c r="J18" s="28" t="s">
        <v>3</v>
      </c>
      <c r="K18" s="28" t="s">
        <v>18</v>
      </c>
      <c r="M18" s="28" t="s">
        <v>2</v>
      </c>
      <c r="N18" s="28" t="s">
        <v>3</v>
      </c>
      <c r="P18" s="15">
        <f t="shared" si="1"/>
        <v>39478</v>
      </c>
      <c r="R18" s="11">
        <v>3345814.79275</v>
      </c>
      <c r="S18" s="16"/>
      <c r="T18" s="16">
        <v>0.61731516591830216</v>
      </c>
      <c r="V18" s="11">
        <v>3345814.79275</v>
      </c>
      <c r="W18" s="16"/>
      <c r="X18" s="34" t="s">
        <v>32</v>
      </c>
      <c r="Y18" s="16"/>
      <c r="Z18" s="16">
        <f t="shared" si="2"/>
        <v>0.61731516591830216</v>
      </c>
      <c r="AD18" s="13"/>
      <c r="AE18" s="13"/>
      <c r="AF18" s="13"/>
      <c r="AG18" s="13"/>
      <c r="AH18" s="13"/>
    </row>
    <row r="19" spans="1:37" x14ac:dyDescent="0.2">
      <c r="C19" s="25">
        <f>[1]!avg($T$9:$T$26,$K19,,$H19,$R$9:$R$26)</f>
        <v>0.61085870418190702</v>
      </c>
      <c r="D19" s="25">
        <f ca="1">SUMPRODUCT(OFFSET($T$27,-I19,0,K19),OFFSET($R$27,-I19,0,K19))/SUM(OFFSET($R$27,-I19,0,K19))</f>
        <v>0.61085870418190702</v>
      </c>
      <c r="E19" s="26">
        <f>[2]!expavg($T$9:$T$26,$R$9:$R$26,K19,H19)</f>
        <v>0.61085870418190702</v>
      </c>
      <c r="F19" s="26">
        <f>[2]!expavg2($T$9:$T$26,I19,J19,$R$9:$R$26)</f>
        <v>0.61085870418190702</v>
      </c>
      <c r="H19" s="2">
        <f>J19-1</f>
        <v>3</v>
      </c>
      <c r="I19" s="24">
        <v>15</v>
      </c>
      <c r="J19" s="24">
        <v>4</v>
      </c>
      <c r="K19" s="17">
        <f>I19-J19+1</f>
        <v>12</v>
      </c>
      <c r="M19" s="15">
        <f ca="1">OFFSET($P$27,-I19,0)</f>
        <v>37287</v>
      </c>
      <c r="N19" s="15">
        <f ca="1">OFFSET($P$27,-J19,0)</f>
        <v>41305</v>
      </c>
      <c r="O19" s="12"/>
      <c r="P19" s="15">
        <f t="shared" si="1"/>
        <v>39844</v>
      </c>
      <c r="R19" s="11">
        <v>3508532.62109</v>
      </c>
      <c r="S19" s="16"/>
      <c r="T19" s="16">
        <v>0.8416844460773909</v>
      </c>
      <c r="V19" s="11">
        <v>3508532.62109</v>
      </c>
      <c r="W19" s="16"/>
      <c r="X19" s="16">
        <v>0</v>
      </c>
      <c r="Y19" s="16"/>
      <c r="Z19" s="16">
        <f t="shared" si="2"/>
        <v>0.8416844460773909</v>
      </c>
      <c r="AD19" s="13"/>
      <c r="AE19" s="13"/>
      <c r="AF19" s="13"/>
      <c r="AG19" s="13"/>
      <c r="AH19" s="13"/>
    </row>
    <row r="20" spans="1:37" x14ac:dyDescent="0.2">
      <c r="B20" s="30" t="s">
        <v>20</v>
      </c>
      <c r="C20" s="2" t="b">
        <f ca="1">C19=$D19</f>
        <v>1</v>
      </c>
      <c r="D20" s="2" t="b">
        <f ca="1">D19=$D19</f>
        <v>1</v>
      </c>
      <c r="E20" s="2" t="b">
        <f ca="1">E19=$D19</f>
        <v>1</v>
      </c>
      <c r="F20" s="2" t="b">
        <f ca="1">F19=$D19</f>
        <v>1</v>
      </c>
      <c r="O20" s="12"/>
      <c r="P20" s="15">
        <f t="shared" si="1"/>
        <v>40209</v>
      </c>
      <c r="R20" s="11">
        <v>3693526.6963</v>
      </c>
      <c r="S20" s="16"/>
      <c r="T20" s="16">
        <v>0.60453437275206079</v>
      </c>
      <c r="V20" s="11">
        <v>3693526.6963</v>
      </c>
      <c r="W20" s="16"/>
      <c r="X20" s="16">
        <v>0</v>
      </c>
      <c r="Y20" s="16"/>
      <c r="Z20" s="16">
        <f t="shared" si="2"/>
        <v>0.60453437275206079</v>
      </c>
      <c r="AD20" s="13"/>
      <c r="AE20" s="13"/>
      <c r="AF20" s="13"/>
      <c r="AG20" s="13"/>
      <c r="AH20" s="13"/>
    </row>
    <row r="21" spans="1:37" x14ac:dyDescent="0.2">
      <c r="O21" s="12"/>
      <c r="P21" s="15">
        <f t="shared" si="1"/>
        <v>40574</v>
      </c>
      <c r="R21" s="11">
        <v>3955939.7421300001</v>
      </c>
      <c r="S21" s="16"/>
      <c r="T21" s="16">
        <v>0.51314722431805748</v>
      </c>
      <c r="V21" s="11">
        <v>3955939.7421300001</v>
      </c>
      <c r="W21" s="16"/>
      <c r="X21" s="16">
        <f t="shared" ref="X21:X26" si="3">T21</f>
        <v>0.51314722431805748</v>
      </c>
      <c r="Y21" s="16"/>
      <c r="Z21" s="16">
        <f t="shared" si="2"/>
        <v>0.51314722431805748</v>
      </c>
      <c r="AD21" s="13"/>
      <c r="AE21" s="13"/>
      <c r="AF21" s="13"/>
      <c r="AG21" s="13"/>
      <c r="AH21" s="13"/>
    </row>
    <row r="22" spans="1:37" x14ac:dyDescent="0.2">
      <c r="O22" s="12"/>
      <c r="P22" s="15">
        <f t="shared" si="1"/>
        <v>40939</v>
      </c>
      <c r="R22" s="11">
        <v>5039390.1123225</v>
      </c>
      <c r="S22" s="16"/>
      <c r="T22" s="16">
        <v>0.48570297500032766</v>
      </c>
      <c r="V22" s="11">
        <v>5039390.1123225</v>
      </c>
      <c r="W22" s="16"/>
      <c r="X22" s="16">
        <f t="shared" si="3"/>
        <v>0.48570297500032766</v>
      </c>
      <c r="Y22" s="16"/>
      <c r="Z22" s="16">
        <f t="shared" si="2"/>
        <v>0.48570297500032766</v>
      </c>
      <c r="AD22" s="13"/>
      <c r="AE22" s="13"/>
      <c r="AF22" s="13"/>
      <c r="AG22" s="13"/>
      <c r="AH22" s="13"/>
    </row>
    <row r="23" spans="1:37" x14ac:dyDescent="0.2">
      <c r="O23" s="12"/>
      <c r="P23" s="15">
        <f t="shared" si="1"/>
        <v>41305</v>
      </c>
      <c r="R23" s="11">
        <v>4096958.2416525004</v>
      </c>
      <c r="S23" s="16"/>
      <c r="T23" s="16">
        <v>0.49317121373703759</v>
      </c>
      <c r="V23" s="11">
        <v>4096958.2416525004</v>
      </c>
      <c r="W23" s="16"/>
      <c r="X23" s="16">
        <f t="shared" si="3"/>
        <v>0.49317121373703759</v>
      </c>
      <c r="Y23" s="16"/>
      <c r="Z23" s="16">
        <f t="shared" si="2"/>
        <v>0.49317121373703759</v>
      </c>
      <c r="AD23" s="13"/>
      <c r="AE23" s="13"/>
      <c r="AF23" s="13"/>
      <c r="AG23" s="13"/>
      <c r="AH23" s="13"/>
    </row>
    <row r="24" spans="1:37" x14ac:dyDescent="0.2">
      <c r="A24" s="4"/>
      <c r="B24" s="4"/>
      <c r="C24" s="4"/>
      <c r="D24" s="26"/>
      <c r="E24" s="26"/>
      <c r="F24" s="26"/>
      <c r="H24" s="4"/>
      <c r="I24" s="4"/>
      <c r="J24" s="4"/>
      <c r="K24" s="4"/>
      <c r="M24" s="4"/>
      <c r="N24" s="4"/>
      <c r="O24" s="12"/>
      <c r="P24" s="15">
        <f t="shared" si="1"/>
        <v>41670</v>
      </c>
      <c r="R24" s="11">
        <v>4113335.0925250002</v>
      </c>
      <c r="S24" s="16"/>
      <c r="T24" s="16">
        <v>0.52820624492112289</v>
      </c>
      <c r="V24" s="34" t="s">
        <v>32</v>
      </c>
      <c r="W24" s="16"/>
      <c r="X24" s="16">
        <f t="shared" si="3"/>
        <v>0.52820624492112289</v>
      </c>
      <c r="Y24" s="16"/>
      <c r="Z24" s="11">
        <v>0</v>
      </c>
      <c r="AD24" s="13"/>
      <c r="AE24" s="13"/>
      <c r="AF24" s="13"/>
      <c r="AG24" s="13"/>
      <c r="AH24" s="13"/>
    </row>
    <row r="25" spans="1:37" x14ac:dyDescent="0.2">
      <c r="A25" s="27">
        <f>MAX($A$1:A24)+1</f>
        <v>2</v>
      </c>
      <c r="B25" s="9" t="s">
        <v>27</v>
      </c>
      <c r="O25" s="12"/>
      <c r="P25" s="15">
        <f t="shared" si="1"/>
        <v>42035</v>
      </c>
      <c r="R25" s="11">
        <v>4108106.25</v>
      </c>
      <c r="S25" s="16"/>
      <c r="T25" s="16">
        <v>0.44107394599288524</v>
      </c>
      <c r="V25" s="34" t="s">
        <v>32</v>
      </c>
      <c r="W25" s="16"/>
      <c r="X25" s="16">
        <f t="shared" si="3"/>
        <v>0.44107394599288524</v>
      </c>
      <c r="Y25" s="16"/>
      <c r="Z25" s="11">
        <v>0</v>
      </c>
      <c r="AD25" s="13"/>
      <c r="AE25" s="13"/>
      <c r="AF25" s="13"/>
      <c r="AG25" s="13"/>
      <c r="AH25" s="13"/>
      <c r="AJ25" s="13"/>
      <c r="AK25" s="13"/>
    </row>
    <row r="26" spans="1:37" x14ac:dyDescent="0.2">
      <c r="B26" s="9" t="s">
        <v>28</v>
      </c>
      <c r="O26" s="12"/>
      <c r="P26" s="15">
        <f t="shared" si="1"/>
        <v>42400</v>
      </c>
      <c r="R26" s="11">
        <v>3144242.25</v>
      </c>
      <c r="S26" s="16"/>
      <c r="T26" s="16">
        <v>0.55373443055729787</v>
      </c>
      <c r="V26" s="11">
        <v>0</v>
      </c>
      <c r="W26" s="16"/>
      <c r="X26" s="16">
        <f t="shared" si="3"/>
        <v>0.55373443055729787</v>
      </c>
      <c r="Y26" s="16"/>
      <c r="Z26" s="11">
        <v>0</v>
      </c>
      <c r="AD26" s="13"/>
      <c r="AE26" s="13"/>
      <c r="AF26" s="13"/>
      <c r="AG26" s="13"/>
      <c r="AH26" s="13"/>
      <c r="AJ26" s="13"/>
      <c r="AK26" s="13"/>
    </row>
    <row r="27" spans="1:37" x14ac:dyDescent="0.2">
      <c r="B27" s="40" t="s">
        <v>68</v>
      </c>
      <c r="O27" s="12"/>
      <c r="P27" s="1"/>
      <c r="Z27" s="1"/>
      <c r="AD27" s="13"/>
      <c r="AE27" s="13"/>
      <c r="AF27" s="13"/>
      <c r="AG27" s="13"/>
      <c r="AH27" s="13"/>
      <c r="AJ27" s="13"/>
      <c r="AK27" s="13"/>
    </row>
    <row r="28" spans="1:37" x14ac:dyDescent="0.2">
      <c r="B28" s="40" t="s">
        <v>69</v>
      </c>
      <c r="O28" s="12"/>
      <c r="P28" s="1"/>
      <c r="Z28" s="1"/>
      <c r="AD28" s="13"/>
      <c r="AE28" s="13"/>
      <c r="AF28" s="13"/>
      <c r="AG28" s="13"/>
      <c r="AH28" s="13"/>
      <c r="AJ28" s="13"/>
      <c r="AK28" s="13"/>
    </row>
    <row r="29" spans="1:37" x14ac:dyDescent="0.2">
      <c r="B29" s="40" t="s">
        <v>70</v>
      </c>
      <c r="O29" s="12"/>
      <c r="P29" s="1"/>
      <c r="Z29" s="1"/>
      <c r="AD29" s="13"/>
      <c r="AE29" s="13"/>
      <c r="AF29" s="13"/>
      <c r="AG29" s="13"/>
      <c r="AH29" s="13"/>
      <c r="AJ29" s="13"/>
      <c r="AK29" s="13"/>
    </row>
    <row r="30" spans="1:37" x14ac:dyDescent="0.2">
      <c r="B30" s="9"/>
      <c r="C30" s="29" t="s">
        <v>17</v>
      </c>
      <c r="D30" s="29"/>
      <c r="E30" s="29"/>
      <c r="F30" s="29"/>
      <c r="O30" s="12"/>
      <c r="Z30" s="1"/>
      <c r="AD30" s="13"/>
      <c r="AE30" s="13"/>
      <c r="AF30" s="13"/>
      <c r="AG30" s="13"/>
      <c r="AH30" s="13"/>
      <c r="AJ30" s="13"/>
      <c r="AK30" s="13"/>
    </row>
    <row r="31" spans="1:37" x14ac:dyDescent="0.2">
      <c r="A31" s="12"/>
      <c r="B31" s="12"/>
      <c r="C31" s="1" t="s">
        <v>35</v>
      </c>
      <c r="D31" s="1" t="s">
        <v>21</v>
      </c>
      <c r="E31" s="1" t="s">
        <v>9</v>
      </c>
      <c r="F31" s="1" t="s">
        <v>11</v>
      </c>
      <c r="H31" s="29" t="s">
        <v>15</v>
      </c>
      <c r="I31" s="29"/>
      <c r="J31" s="29"/>
      <c r="K31" s="29"/>
      <c r="M31" s="29" t="s">
        <v>16</v>
      </c>
      <c r="N31" s="29"/>
      <c r="Z31" s="1"/>
      <c r="AD31" s="13"/>
      <c r="AE31" s="13"/>
      <c r="AF31" s="13"/>
      <c r="AG31" s="13"/>
      <c r="AH31" s="13"/>
      <c r="AJ31" s="13"/>
      <c r="AK31" s="13"/>
    </row>
    <row r="32" spans="1:37" x14ac:dyDescent="0.2">
      <c r="A32" s="12"/>
      <c r="B32" s="28" t="s">
        <v>30</v>
      </c>
      <c r="C32" s="28" t="s">
        <v>19</v>
      </c>
      <c r="D32" s="28" t="s">
        <v>1</v>
      </c>
      <c r="E32" s="28" t="s">
        <v>10</v>
      </c>
      <c r="F32" s="28" t="s">
        <v>10</v>
      </c>
      <c r="H32" s="28" t="s">
        <v>12</v>
      </c>
      <c r="I32" s="28" t="s">
        <v>2</v>
      </c>
      <c r="J32" s="28" t="s">
        <v>3</v>
      </c>
      <c r="K32" s="28" t="s">
        <v>18</v>
      </c>
      <c r="M32" s="28" t="s">
        <v>2</v>
      </c>
      <c r="N32" s="28" t="s">
        <v>3</v>
      </c>
      <c r="Z32" s="1"/>
      <c r="AD32" s="13"/>
      <c r="AE32" s="13"/>
      <c r="AF32" s="13"/>
      <c r="AG32" s="13"/>
      <c r="AH32" s="13"/>
      <c r="AJ32" s="13"/>
      <c r="AK32" s="13"/>
    </row>
    <row r="33" spans="1:39" x14ac:dyDescent="0.2">
      <c r="A33" s="12"/>
      <c r="B33" s="31" t="s">
        <v>29</v>
      </c>
      <c r="C33" s="25">
        <f>[1]!avg($T$9:$T$26,$K33,,$H33,$R$9:$R$26)</f>
        <v>0.59845902233522774</v>
      </c>
      <c r="D33" s="25">
        <f ca="1">SUMPRODUCT(OFFSET($T$27,-I33,0,K33),OFFSET($R$27,-I33,0,K33))/SUM(OFFSET($R$27,-I33,0,K33))</f>
        <v>0.59845902233522763</v>
      </c>
      <c r="E33" s="26">
        <f>[2]!expavg($T$9:$T$26,$R$9:$R$26,K33,H33)</f>
        <v>0.59845902233522763</v>
      </c>
      <c r="F33" s="26">
        <f>[2]!expavg2($T$9:$T$26,I33,J33,$R$9:$R$26)</f>
        <v>0.59845902233522763</v>
      </c>
      <c r="H33" s="2">
        <f>J33-1</f>
        <v>3</v>
      </c>
      <c r="I33" s="24">
        <v>11</v>
      </c>
      <c r="J33" s="24">
        <v>4</v>
      </c>
      <c r="K33" s="17">
        <f>I33-J33+1</f>
        <v>8</v>
      </c>
      <c r="M33" s="15">
        <f ca="1">OFFSET($P$27,-I33,0)</f>
        <v>38748</v>
      </c>
      <c r="N33" s="15">
        <f ca="1">OFFSET($P$27,-J33,0)</f>
        <v>41305</v>
      </c>
      <c r="Z33" s="1"/>
      <c r="AD33" s="13"/>
      <c r="AE33" s="13"/>
      <c r="AF33" s="13"/>
      <c r="AG33" s="13"/>
      <c r="AH33" s="13"/>
      <c r="AJ33" s="13"/>
      <c r="AK33" s="13"/>
    </row>
    <row r="34" spans="1:39" x14ac:dyDescent="0.2">
      <c r="A34" s="12"/>
      <c r="B34" s="30" t="s">
        <v>20</v>
      </c>
      <c r="C34" s="2" t="b">
        <f ca="1">C33=$D33</f>
        <v>1</v>
      </c>
      <c r="D34" s="2" t="b">
        <f ca="1">D33=$D33</f>
        <v>1</v>
      </c>
      <c r="E34" s="2" t="b">
        <f ca="1">E33=$D33</f>
        <v>1</v>
      </c>
      <c r="F34" s="2" t="b">
        <f ca="1">F33=$D33</f>
        <v>1</v>
      </c>
      <c r="Z34" s="1"/>
      <c r="AA34" s="17"/>
      <c r="AB34" s="13"/>
      <c r="AC34" s="18"/>
      <c r="AD34" s="18"/>
      <c r="AE34" s="13"/>
      <c r="AF34" s="13"/>
      <c r="AG34" s="13"/>
      <c r="AH34" s="13"/>
      <c r="AI34" s="13"/>
      <c r="AJ34" s="13"/>
      <c r="AK34" s="13"/>
      <c r="AL34" s="13"/>
      <c r="AM34" s="13"/>
    </row>
    <row r="35" spans="1:39" x14ac:dyDescent="0.2">
      <c r="A35" s="12"/>
      <c r="B35" s="31" t="s">
        <v>31</v>
      </c>
      <c r="C35" s="25">
        <f>[1]!avg($T$9:$T$26,$K35,,$H35)</f>
        <v>0.6067318419036416</v>
      </c>
      <c r="D35" s="25">
        <f ca="1">[1]!avg(OFFSET($T$27,-I35,0,K35))</f>
        <v>0.6067318419036416</v>
      </c>
      <c r="E35" s="26" t="s">
        <v>32</v>
      </c>
      <c r="F35" s="26">
        <f>[2]!expavg2($T$9:$T$26,I35,J35)</f>
        <v>0.6067318419036416</v>
      </c>
      <c r="G35" s="12"/>
      <c r="H35" s="2">
        <f>J35-1</f>
        <v>3</v>
      </c>
      <c r="I35" s="24">
        <v>11</v>
      </c>
      <c r="J35" s="24">
        <v>4</v>
      </c>
      <c r="K35" s="17">
        <f>I35-J35+1</f>
        <v>8</v>
      </c>
      <c r="M35" s="15">
        <f ca="1">OFFSET($P$27,-I35,0)</f>
        <v>38748</v>
      </c>
      <c r="N35" s="15">
        <f ca="1">OFFSET($P$27,-J35,0)</f>
        <v>41305</v>
      </c>
      <c r="Z35" s="1"/>
      <c r="AA35" s="17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</row>
    <row r="36" spans="1:39" x14ac:dyDescent="0.2">
      <c r="A36" s="12"/>
      <c r="B36" s="30" t="s">
        <v>20</v>
      </c>
      <c r="C36" s="2" t="b">
        <f ca="1">C35=$D35</f>
        <v>1</v>
      </c>
      <c r="D36" s="2" t="b">
        <f ca="1">D35=$D35</f>
        <v>1</v>
      </c>
      <c r="E36" s="2" t="b">
        <f ca="1">E35=$D35</f>
        <v>0</v>
      </c>
      <c r="F36" s="2" t="b">
        <f ca="1">F35=$D35</f>
        <v>1</v>
      </c>
      <c r="G36" s="12"/>
      <c r="H36" s="12"/>
      <c r="I36" s="12"/>
      <c r="J36" s="12"/>
      <c r="K36" s="12"/>
      <c r="L36" s="12"/>
      <c r="M36" s="12"/>
      <c r="N36" s="12"/>
      <c r="Z36" s="1"/>
      <c r="AA36" s="4"/>
    </row>
    <row r="37" spans="1:39" x14ac:dyDescent="0.2">
      <c r="A37" s="12"/>
      <c r="B37" s="31" t="s">
        <v>33</v>
      </c>
      <c r="C37" s="25">
        <f>[1]!avg($T$9:$T$26,$K37,TRUE,$H37)</f>
        <v>0.58774455235856904</v>
      </c>
      <c r="D37" s="25">
        <f ca="1">(SUM(OFFSET($T$27,-I37,0,K37))-MIN(OFFSET($T$27,-I37,0,K37))-MAX(OFFSET($T$27,-I37,0,K37)))/(COUNT(OFFSET($T$27,-I37,0,K37))-2)</f>
        <v>0.58774455235856904</v>
      </c>
      <c r="E37" s="26" t="s">
        <v>32</v>
      </c>
      <c r="F37" s="26" t="e">
        <f ca="1">expavg2($T$9:$T$26,I37,J37,,TRUE)</f>
        <v>#NAME?</v>
      </c>
      <c r="G37" s="12"/>
      <c r="H37" s="2">
        <f>J37-1</f>
        <v>3</v>
      </c>
      <c r="I37" s="24">
        <v>11</v>
      </c>
      <c r="J37" s="24">
        <v>4</v>
      </c>
      <c r="K37" s="17">
        <f>I37-J37+1</f>
        <v>8</v>
      </c>
      <c r="M37" s="15">
        <f ca="1">OFFSET($P$27,-I37,0)</f>
        <v>38748</v>
      </c>
      <c r="N37" s="15">
        <f ca="1">OFFSET($P$27,-J37,0)</f>
        <v>41305</v>
      </c>
      <c r="Z37" s="1"/>
      <c r="AA37" s="4"/>
    </row>
    <row r="38" spans="1:39" x14ac:dyDescent="0.2">
      <c r="A38" s="12"/>
      <c r="B38" s="30" t="s">
        <v>20</v>
      </c>
      <c r="C38" s="2" t="b">
        <f ca="1">C37=$D37</f>
        <v>1</v>
      </c>
      <c r="D38" s="2" t="b">
        <f ca="1">D37=$D37</f>
        <v>1</v>
      </c>
      <c r="E38" s="2" t="b">
        <f ca="1">E37=$D37</f>
        <v>0</v>
      </c>
      <c r="F38" s="2" t="e">
        <f ca="1">F37=$D37</f>
        <v>#NAME?</v>
      </c>
      <c r="G38" s="12"/>
      <c r="H38" s="12"/>
      <c r="I38" s="25"/>
      <c r="J38" s="12"/>
      <c r="K38" s="12"/>
      <c r="L38" s="25"/>
      <c r="M38" s="25"/>
      <c r="N38" s="12"/>
      <c r="Z38" s="1"/>
      <c r="AA38" s="4"/>
    </row>
    <row r="39" spans="1:39" x14ac:dyDescent="0.2">
      <c r="A39" s="12"/>
      <c r="B39" s="31" t="s">
        <v>34</v>
      </c>
      <c r="C39" s="25">
        <f>[1]!avg($T$9:$T$26,$K39,TRUE,$H39,$R$9:$R$26)</f>
        <v>0.56857036866483102</v>
      </c>
      <c r="D39" s="26">
        <f>SUM(SUMPRODUCT(T20:T21,R20:R21),SUMPRODUCT(T23,R23),SUMPRODUCT(T16:T18,R16:R18))/SUM(R16:R18,R20:R21,R23)</f>
        <v>0.5857119464083641</v>
      </c>
      <c r="E39" s="26" t="s">
        <v>32</v>
      </c>
      <c r="F39" s="26" t="e">
        <f ca="1">expavg2($T$9:$T$26,I39,J39,$R$9:$R$26,TRUE)</f>
        <v>#NAME?</v>
      </c>
      <c r="G39" s="12"/>
      <c r="H39" s="2">
        <f>J39-1</f>
        <v>3</v>
      </c>
      <c r="I39" s="24">
        <v>11</v>
      </c>
      <c r="J39" s="24">
        <v>4</v>
      </c>
      <c r="K39" s="17">
        <f>I39-J39+1</f>
        <v>8</v>
      </c>
      <c r="M39" s="15">
        <f ca="1">OFFSET($P$27,-I39,0)</f>
        <v>38748</v>
      </c>
      <c r="N39" s="15">
        <f ca="1">OFFSET($P$27,-J39,0)</f>
        <v>41305</v>
      </c>
      <c r="Z39" s="1"/>
      <c r="AA39" s="4"/>
    </row>
    <row r="40" spans="1:39" x14ac:dyDescent="0.2">
      <c r="A40" s="12"/>
      <c r="B40" s="30" t="s">
        <v>20</v>
      </c>
      <c r="C40" s="2" t="b">
        <f>C39=$D39</f>
        <v>0</v>
      </c>
      <c r="D40" s="2" t="b">
        <f>D39=$D39</f>
        <v>1</v>
      </c>
      <c r="E40" s="2" t="b">
        <f>E39=$D39</f>
        <v>0</v>
      </c>
      <c r="F40" s="2" t="e">
        <f ca="1">F39=$D39</f>
        <v>#NAME?</v>
      </c>
      <c r="G40" s="12"/>
      <c r="H40" s="12"/>
      <c r="I40" s="25"/>
      <c r="J40" s="12"/>
      <c r="K40" s="12"/>
      <c r="L40" s="25"/>
      <c r="M40" s="25"/>
      <c r="N40" s="12"/>
      <c r="Z40" s="1"/>
      <c r="AA40" s="4"/>
    </row>
    <row r="41" spans="1:39" x14ac:dyDescent="0.2">
      <c r="A41" s="12"/>
      <c r="B41" s="12"/>
      <c r="Z41" s="1"/>
      <c r="AA41" s="4"/>
    </row>
    <row r="42" spans="1:39" x14ac:dyDescent="0.2">
      <c r="Z42" s="1"/>
      <c r="AA42" s="4"/>
    </row>
    <row r="43" spans="1:39" x14ac:dyDescent="0.2">
      <c r="A43" s="27">
        <f>MAX($A$1:A42)+1</f>
        <v>3</v>
      </c>
      <c r="B43" s="9" t="s">
        <v>53</v>
      </c>
      <c r="Z43" s="1"/>
      <c r="AA43" s="4"/>
    </row>
    <row r="44" spans="1:39" x14ac:dyDescent="0.2">
      <c r="B44" s="9" t="s">
        <v>54</v>
      </c>
      <c r="Z44" s="1"/>
      <c r="AA44" s="4"/>
    </row>
    <row r="45" spans="1:39" x14ac:dyDescent="0.2">
      <c r="Z45" s="1"/>
    </row>
    <row r="46" spans="1:39" x14ac:dyDescent="0.2">
      <c r="B46" s="9"/>
      <c r="C46" s="29" t="s">
        <v>17</v>
      </c>
      <c r="D46" s="29"/>
      <c r="E46" s="29"/>
      <c r="F46" s="29"/>
      <c r="Z46" s="1"/>
    </row>
    <row r="47" spans="1:39" x14ac:dyDescent="0.2">
      <c r="B47" s="12"/>
      <c r="C47" s="1" t="s">
        <v>35</v>
      </c>
      <c r="D47" s="1" t="s">
        <v>21</v>
      </c>
      <c r="E47" s="1" t="s">
        <v>9</v>
      </c>
      <c r="F47" s="1" t="s">
        <v>11</v>
      </c>
      <c r="H47" s="29" t="s">
        <v>15</v>
      </c>
      <c r="I47" s="29"/>
      <c r="J47" s="29"/>
      <c r="K47" s="29"/>
      <c r="M47" s="29" t="s">
        <v>16</v>
      </c>
      <c r="N47" s="29"/>
      <c r="Z47" s="1"/>
    </row>
    <row r="48" spans="1:39" x14ac:dyDescent="0.2">
      <c r="B48" s="28" t="s">
        <v>41</v>
      </c>
      <c r="C48" s="28" t="s">
        <v>19</v>
      </c>
      <c r="D48" s="28" t="s">
        <v>1</v>
      </c>
      <c r="E48" s="28" t="s">
        <v>10</v>
      </c>
      <c r="F48" s="28" t="s">
        <v>10</v>
      </c>
      <c r="H48" s="28" t="s">
        <v>12</v>
      </c>
      <c r="I48" s="28" t="s">
        <v>2</v>
      </c>
      <c r="J48" s="28" t="s">
        <v>3</v>
      </c>
      <c r="K48" s="28" t="s">
        <v>18</v>
      </c>
      <c r="M48" s="28" t="s">
        <v>2</v>
      </c>
      <c r="N48" s="28" t="s">
        <v>3</v>
      </c>
      <c r="Z48" s="1"/>
    </row>
    <row r="49" spans="2:26" ht="39" customHeight="1" x14ac:dyDescent="0.2">
      <c r="B49" s="27">
        <f>MAX($B48:B$48)+1</f>
        <v>1</v>
      </c>
      <c r="C49" s="9" t="s">
        <v>36</v>
      </c>
      <c r="Z49" s="1"/>
    </row>
    <row r="50" spans="2:26" x14ac:dyDescent="0.2">
      <c r="C50" s="25">
        <f>[1]!avg($T$9:$T$26,$K50,,$H50,$R$9:$R$27)</f>
        <v>0.59845902233522774</v>
      </c>
      <c r="D50" s="26" t="s">
        <v>32</v>
      </c>
      <c r="E50" s="26">
        <f>[2]!expavg($T$9:$T$26,$R$9:$R$27,K50,H50)</f>
        <v>0.59845902233522763</v>
      </c>
      <c r="F50" s="33" t="e">
        <f ca="1">expavg2($T$9:$T$26,I50,J50,$R$9:$R$27)</f>
        <v>#NAME?</v>
      </c>
      <c r="H50" s="2">
        <f>J50-1</f>
        <v>3</v>
      </c>
      <c r="I50" s="24">
        <v>11</v>
      </c>
      <c r="J50" s="24">
        <v>4</v>
      </c>
      <c r="K50" s="17">
        <f>I50-J50+1</f>
        <v>8</v>
      </c>
      <c r="M50" s="15">
        <f ca="1">OFFSET($P$27,-I50,0)</f>
        <v>38748</v>
      </c>
      <c r="N50" s="15">
        <f ca="1">OFFSET($P$27,-J50,0)</f>
        <v>41305</v>
      </c>
      <c r="Z50" s="1"/>
    </row>
    <row r="51" spans="2:26" x14ac:dyDescent="0.2">
      <c r="B51" s="27">
        <f>MAX($B$48:B50)+1</f>
        <v>2</v>
      </c>
      <c r="C51" s="9" t="s">
        <v>37</v>
      </c>
      <c r="Z51" s="1"/>
    </row>
    <row r="52" spans="2:26" x14ac:dyDescent="0.2">
      <c r="C52" s="25" t="e">
        <f>[1]!avg($T$9:$T$26,$K52,,$H52,$R$9:$R$26)</f>
        <v>#VALUE!</v>
      </c>
      <c r="D52" s="25" t="e">
        <f ca="1">SUMPRODUCT(OFFSET($T$27,-I52,0,K52),OFFSET($R$27,-I52,0,K52))/SUM(OFFSET($R$27,-I52,0,K52))</f>
        <v>#REF!</v>
      </c>
      <c r="E52" s="26">
        <f>[2]!expavg($T$9:$T$26,$R$9:$R$26,K52,H52)</f>
        <v>0.62815488340610859</v>
      </c>
      <c r="F52" s="33" t="e">
        <f ca="1">expavg2($T$9:$T$26,I52,J52,$R$9:$R$26)</f>
        <v>#NAME?</v>
      </c>
      <c r="H52" s="2">
        <f>J52-1</f>
        <v>3</v>
      </c>
      <c r="I52" s="24">
        <v>3</v>
      </c>
      <c r="J52" s="24">
        <v>4</v>
      </c>
      <c r="K52" s="17">
        <f>I52-J52+1</f>
        <v>0</v>
      </c>
      <c r="M52" s="15">
        <f ca="1">OFFSET($P$27,-I52,0)</f>
        <v>41670</v>
      </c>
      <c r="N52" s="15">
        <f ca="1">OFFSET($P$27,-J52,0)</f>
        <v>41305</v>
      </c>
      <c r="Z52" s="1"/>
    </row>
    <row r="53" spans="2:26" x14ac:dyDescent="0.2">
      <c r="C53" s="25" t="e">
        <f>[1]!avg($T$9:$T$26,$K53,,$H53,$R$9:$R$26)</f>
        <v>#VALUE!</v>
      </c>
      <c r="D53" s="25">
        <f ca="1">SUMPRODUCT(OFFSET($T$27,-I53,0,K53),OFFSET($R$27,-I53,0,K53))/SUM(OFFSET($R$27,-I53,0,K53))</f>
        <v>0.44107394599288524</v>
      </c>
      <c r="E53" s="26">
        <f>[2]!expavg($T$9:$T$26,$R$9:$R$26,K53,H53)</f>
        <v>0.62815488340610859</v>
      </c>
      <c r="F53" s="33" t="e">
        <f ca="1">expavg2($T$9:$T$26,I53,J53,$R$9:$R$26)</f>
        <v>#NAME?</v>
      </c>
      <c r="H53" s="2">
        <f>J53-1</f>
        <v>3</v>
      </c>
      <c r="I53" s="24">
        <v>2</v>
      </c>
      <c r="J53" s="24">
        <v>4</v>
      </c>
      <c r="K53" s="17">
        <f>I53-J53+1</f>
        <v>-1</v>
      </c>
      <c r="M53" s="15">
        <f ca="1">OFFSET($P$27,-I53,0)</f>
        <v>42035</v>
      </c>
      <c r="N53" s="15">
        <f ca="1">OFFSET($P$27,-J53,0)</f>
        <v>41305</v>
      </c>
      <c r="Z53" s="1"/>
    </row>
    <row r="54" spans="2:26" x14ac:dyDescent="0.2">
      <c r="B54" s="27">
        <f>MAX($B$48:B53)+1</f>
        <v>3</v>
      </c>
      <c r="C54" s="9" t="s">
        <v>38</v>
      </c>
      <c r="Z54" s="1"/>
    </row>
    <row r="55" spans="2:26" x14ac:dyDescent="0.2">
      <c r="C55" s="25" t="str">
        <f>[1]!avg($T$9:$T$26,$K55,,$H55,$R$9:$R$26)</f>
        <v/>
      </c>
      <c r="D55" s="25">
        <f ca="1">SUMPRODUCT(OFFSET($T$27,-I55,0,K55),OFFSET($R$27,-I55,0,K55))/SUM(OFFSET($R$27,-I55,0,K55))</f>
        <v>0.48905191278789362</v>
      </c>
      <c r="E55" s="26">
        <f>[2]!expavg($T$9:$T$26,$R$9:$R$26,K55,H55)</f>
        <v>0.48905191278789362</v>
      </c>
      <c r="F55" s="33" t="e">
        <f ca="1">expavg2($T$9:$T$26,I55,J55,$R$9:$R$26)</f>
        <v>#NAME?</v>
      </c>
      <c r="H55" s="2">
        <f>J55-1</f>
        <v>3</v>
      </c>
      <c r="I55" s="24">
        <v>5.5</v>
      </c>
      <c r="J55" s="24">
        <v>4</v>
      </c>
      <c r="K55" s="17">
        <f>I55-J55+1</f>
        <v>2.5</v>
      </c>
      <c r="M55" s="15">
        <f ca="1">OFFSET($P$27,-I55,0)</f>
        <v>40939</v>
      </c>
      <c r="N55" s="15">
        <f ca="1">OFFSET($P$27,-J55,0)</f>
        <v>41305</v>
      </c>
      <c r="Z55" s="1"/>
    </row>
    <row r="56" spans="2:26" x14ac:dyDescent="0.2">
      <c r="B56" s="27">
        <f>MAX($B$48:B55)+1</f>
        <v>4</v>
      </c>
      <c r="C56" s="9" t="s">
        <v>39</v>
      </c>
      <c r="Z56" s="1"/>
    </row>
    <row r="57" spans="2:26" x14ac:dyDescent="0.2">
      <c r="C57" s="25">
        <f>[1]!avg($T$9:$T$26,$K57,,$H57,$R$9:$R$26)</f>
        <v>0.56772119175493352</v>
      </c>
      <c r="D57" s="25">
        <f ca="1">SUMPRODUCT(OFFSET($T$27,-I57,0,K57),OFFSET($R$27,-I57,0,K57))/SUM(OFFSET($R$27,-I57,0,K57))</f>
        <v>0.57573023063551798</v>
      </c>
      <c r="E57" s="26">
        <f>[2]!expavg($T$9:$T$26,$R$9:$R$26,K57,H57)</f>
        <v>0.56772119175493341</v>
      </c>
      <c r="F57" s="33" t="e">
        <f ca="1">expavg2($T$9:$T$26,I57,J57,$R$9:$R$26)</f>
        <v>#NAME?</v>
      </c>
      <c r="H57" s="2">
        <f>J57-1</f>
        <v>2.5</v>
      </c>
      <c r="I57" s="24">
        <v>8</v>
      </c>
      <c r="J57" s="24">
        <v>3.5</v>
      </c>
      <c r="K57" s="17">
        <f>I57-J57+1</f>
        <v>5.5</v>
      </c>
      <c r="M57" s="15">
        <f ca="1">OFFSET($P$27,-I57,0)</f>
        <v>39844</v>
      </c>
      <c r="N57" s="15">
        <f ca="1">OFFSET($P$27,-J57,0)</f>
        <v>41670</v>
      </c>
      <c r="Z57" s="1"/>
    </row>
    <row r="58" spans="2:26" x14ac:dyDescent="0.2">
      <c r="B58" s="27">
        <f>MAX($B$48:B57)+1</f>
        <v>5</v>
      </c>
      <c r="C58" s="9" t="s">
        <v>40</v>
      </c>
      <c r="Z58" s="1"/>
    </row>
    <row r="59" spans="2:26" x14ac:dyDescent="0.2">
      <c r="C59" s="25">
        <f>[1]!avg($T$9:$T$26,$K59,,$H59,$R$9:$R$26)</f>
        <v>0.48697539858331468</v>
      </c>
      <c r="D59" s="25">
        <f ca="1">SUMPRODUCT(OFFSET($T$27,-I59,0,K59),OFFSET($R$27,-I59,0,K59))/SUM(OFFSET($R$27,-I59,0,K59))</f>
        <v>0.50377463553306268</v>
      </c>
      <c r="E59" s="26">
        <f>[2]!expavg($T$9:$T$26,$R$9:$R$26,K59,H59)</f>
        <v>0.50096516889839471</v>
      </c>
      <c r="F59" s="33" t="e">
        <f ca="1">expavg2($T$9:$T$26,I59,J59,$R$9:$R$26)</f>
        <v>#NAME?</v>
      </c>
      <c r="H59" s="2">
        <f>J59-1</f>
        <v>-1</v>
      </c>
      <c r="I59" s="24">
        <v>3</v>
      </c>
      <c r="J59" s="24">
        <v>0</v>
      </c>
      <c r="K59" s="17">
        <f>I59-J59+1</f>
        <v>4</v>
      </c>
      <c r="M59" s="15">
        <f ca="1">OFFSET($P$27,-I59,0)</f>
        <v>41670</v>
      </c>
      <c r="N59" s="15">
        <f ca="1">OFFSET($P$27,-J59,0)</f>
        <v>0</v>
      </c>
      <c r="Z59" s="1"/>
    </row>
    <row r="60" spans="2:26" x14ac:dyDescent="0.2">
      <c r="C60" s="25">
        <f>[1]!avg($T$9:$T$26,$K60,,$H60,$R$9:$R$26)</f>
        <v>0.44107394599288519</v>
      </c>
      <c r="D60" s="25" t="e">
        <f ca="1">SUMPRODUCT(OFFSET($T$27,-I60,0,K60),OFFSET($R$27,-I60,0,K60))/SUM(OFFSET($R$27,-I60,0,K60))</f>
        <v>#VALUE!</v>
      </c>
      <c r="E60" s="26">
        <f>[2]!expavg($T$9:$T$26,$R$9:$R$26,K60,H60)</f>
        <v>0.55373443055729787</v>
      </c>
      <c r="F60" s="33" t="e">
        <f ca="1">expavg2($T$9:$T$26,I60,J60,$R$9:$R$26)</f>
        <v>#NAME?</v>
      </c>
      <c r="H60" s="2">
        <f>J60-1</f>
        <v>-1</v>
      </c>
      <c r="I60" s="24">
        <v>0</v>
      </c>
      <c r="J60" s="24">
        <v>0</v>
      </c>
      <c r="K60" s="17">
        <f>I60-J60+1</f>
        <v>1</v>
      </c>
      <c r="M60" s="15">
        <f ca="1">OFFSET($P$27,-I60,0)</f>
        <v>0</v>
      </c>
      <c r="N60" s="15">
        <f ca="1">OFFSET($P$27,-J60,0)</f>
        <v>0</v>
      </c>
      <c r="Z60" s="1"/>
    </row>
    <row r="61" spans="2:26" x14ac:dyDescent="0.2">
      <c r="B61" s="27">
        <f>MAX($B$48:B60)+1</f>
        <v>6</v>
      </c>
      <c r="C61" s="9" t="s">
        <v>44</v>
      </c>
      <c r="Z61" s="1"/>
    </row>
    <row r="62" spans="2:26" x14ac:dyDescent="0.2">
      <c r="C62" s="25" t="e">
        <f>[1]!avg($X$9:$X$26,$K62,,$H62,$V$9:$V$26)</f>
        <v>#VALUE!</v>
      </c>
      <c r="D62" s="25" t="e">
        <f ca="1">SUMPRODUCT(OFFSET($X$27,-I62,0,K62),OFFSET($V$27,-I62,0,K62))/SUM(OFFSET($V$27,-I62,0,K62))</f>
        <v>#DIV/0!</v>
      </c>
      <c r="E62" s="26">
        <f>[2]!expavg($X$9:$X$26,$V$9:$V$26,K62,H62)</f>
        <v>0.49777232635548585</v>
      </c>
      <c r="F62" s="33" t="e">
        <f ca="1">expavg2($X$9:$X$26,I62,J62,$V$9:$V$26)</f>
        <v>#NAME?</v>
      </c>
      <c r="H62" s="2">
        <f>J62-1</f>
        <v>1</v>
      </c>
      <c r="I62" s="24">
        <v>3</v>
      </c>
      <c r="J62" s="24">
        <v>2</v>
      </c>
      <c r="K62" s="17">
        <f>I62-J62+1</f>
        <v>2</v>
      </c>
      <c r="M62" s="15">
        <f ca="1">OFFSET($P$27,-I62,0)</f>
        <v>41670</v>
      </c>
      <c r="N62" s="15">
        <f ca="1">OFFSET($P$27,-J62,0)</f>
        <v>42035</v>
      </c>
      <c r="Z62" s="1"/>
    </row>
    <row r="63" spans="2:26" x14ac:dyDescent="0.2">
      <c r="C63" s="25" t="e">
        <f>[1]!avg($X$9:$X$26,$K63,,$H63,$V$9:$V$26)</f>
        <v>#VALUE!</v>
      </c>
      <c r="D63" s="25" t="e">
        <f ca="1">SUMPRODUCT(OFFSET($X$27,-I63,0,K63),OFFSET($V$27,-I63,0,K63))/SUM(OFFSET($V$27,-I63,0,K63))</f>
        <v>#DIV/0!</v>
      </c>
      <c r="E63" s="26">
        <f>[2]!expavg($X$9:$X$26,$V$9:$V$26,K63,H63)</f>
        <v>0.49317121373703759</v>
      </c>
      <c r="F63" s="33" t="e">
        <f ca="1">expavg2($X$9:$X$26,I63,J63,$V$9:$V$26)</f>
        <v>#NAME?</v>
      </c>
      <c r="H63" s="2">
        <f>J63-1</f>
        <v>0</v>
      </c>
      <c r="I63" s="24">
        <v>1</v>
      </c>
      <c r="J63" s="24">
        <v>1</v>
      </c>
      <c r="K63" s="17">
        <f>I63-J63+1</f>
        <v>1</v>
      </c>
      <c r="M63" s="15">
        <f ca="1">OFFSET($P$27,-I63,0)</f>
        <v>42400</v>
      </c>
      <c r="N63" s="15">
        <f ca="1">OFFSET($P$27,-J63,0)</f>
        <v>42400</v>
      </c>
      <c r="Z63" s="1"/>
    </row>
    <row r="64" spans="2:26" x14ac:dyDescent="0.2">
      <c r="B64" s="27">
        <f>MAX($B$48:B62)+1</f>
        <v>7</v>
      </c>
      <c r="C64" s="9" t="s">
        <v>47</v>
      </c>
      <c r="Z64" s="1"/>
    </row>
    <row r="65" spans="2:26" ht="47.25" customHeight="1" x14ac:dyDescent="0.2">
      <c r="C65" s="25" t="e">
        <f>[1]!avg($X$9:$X$26,$K65,,$H65,$V$9:$V$26)</f>
        <v>#VALUE!</v>
      </c>
      <c r="D65" s="25">
        <f ca="1">SUMPRODUCT(OFFSET($X$27,-I65,0,K65),OFFSET($V$27,-I65,0,K65))/SUM(OFFSET($V$27,-I65,0,K65))</f>
        <v>0</v>
      </c>
      <c r="E65" s="26" t="str">
        <f>[2]!expavg($X$9:$X$26,$V$9:$V$26,K65,H65)</f>
        <v>ERROR: All pairs contain empty cells.</v>
      </c>
      <c r="F65" s="33" t="e">
        <f ca="1">expavg2($X$9:$X$26,I65,J65,$V$9:$V$26)</f>
        <v>#NAME?</v>
      </c>
      <c r="H65" s="2">
        <f>J65-1</f>
        <v>8</v>
      </c>
      <c r="I65" s="24">
        <v>12</v>
      </c>
      <c r="J65" s="24">
        <v>9</v>
      </c>
      <c r="K65" s="17">
        <f>I65-J65+1</f>
        <v>4</v>
      </c>
      <c r="M65" s="15">
        <f ca="1">OFFSET($P$27,-I65,0)</f>
        <v>38383</v>
      </c>
      <c r="N65" s="15">
        <f ca="1">OFFSET($P$27,-J65,0)</f>
        <v>39478</v>
      </c>
      <c r="Z65" s="1"/>
    </row>
    <row r="66" spans="2:26" x14ac:dyDescent="0.2">
      <c r="B66" s="27">
        <f>MAX($B$48:B65)+1</f>
        <v>8</v>
      </c>
      <c r="C66" s="9" t="s">
        <v>46</v>
      </c>
      <c r="Z66" s="1"/>
    </row>
    <row r="67" spans="2:26" x14ac:dyDescent="0.2">
      <c r="C67" s="25" t="e">
        <f>[1]!avg($X$9:$X$26,$K67,,$H67,$V$9:$V$26)</f>
        <v>#VALUE!</v>
      </c>
      <c r="D67" s="25">
        <f ca="1">SUMPRODUCT(OFFSET($X$27,-I67,0,K67),OFFSET($V$27,-I67,0,K67))/SUM(OFFSET($V$27,-I67,0,K67))</f>
        <v>0</v>
      </c>
      <c r="E67" s="32">
        <f>[2]!expavg($X$9:$X$26,$V$9:$V$26,K67,H67)</f>
        <v>0.80365133801494038</v>
      </c>
      <c r="F67" s="33" t="e">
        <f ca="1">expavg2($X$9:$X$26,I67,J67,$V$9:$V$26)</f>
        <v>#NAME?</v>
      </c>
      <c r="H67" s="2">
        <f>J67-1</f>
        <v>6</v>
      </c>
      <c r="I67" s="24">
        <v>8</v>
      </c>
      <c r="J67" s="24">
        <v>7</v>
      </c>
      <c r="K67" s="17">
        <f>I67-J67+1</f>
        <v>2</v>
      </c>
      <c r="M67" s="15">
        <f ca="1">OFFSET($P$27,-I67,0)</f>
        <v>39844</v>
      </c>
      <c r="N67" s="15">
        <f ca="1">OFFSET($P$27,-J67,0)</f>
        <v>40209</v>
      </c>
      <c r="Z67" s="1"/>
    </row>
    <row r="68" spans="2:26" x14ac:dyDescent="0.2">
      <c r="B68" s="27">
        <f>MAX($B$48:B67)+1</f>
        <v>9</v>
      </c>
      <c r="C68" s="9" t="s">
        <v>48</v>
      </c>
      <c r="Z68" s="1"/>
    </row>
    <row r="69" spans="2:26" x14ac:dyDescent="0.2">
      <c r="C69" s="25" t="e">
        <f>[1]!avg($X$9:$X$26,$K69,,$H69,$V$9:$V$26)</f>
        <v>#VALUE!</v>
      </c>
      <c r="D69" s="25">
        <f ca="1">SUMPRODUCT(OFFSET($X$27,-I69,0,K69),OFFSET($V$27,-I69,0,K69))/SUM(OFFSET($V$27,-I69,0,K69))</f>
        <v>0.18193042385243113</v>
      </c>
      <c r="E69" s="32">
        <f>[2]!expavg($X$9:$X$26,$V$9:$V$26,K69,H69)</f>
        <v>0.74861722461014024</v>
      </c>
      <c r="F69" s="33" t="e">
        <f ca="1">expavg2($X$9:$X$26,I69,J69,$V$9:$V$26)</f>
        <v>#NAME?</v>
      </c>
      <c r="H69" s="2">
        <f>J69-1</f>
        <v>5</v>
      </c>
      <c r="I69" s="24">
        <v>8</v>
      </c>
      <c r="J69" s="24">
        <v>6</v>
      </c>
      <c r="K69" s="17">
        <f>I69-J69+1</f>
        <v>3</v>
      </c>
      <c r="M69" s="15">
        <f ca="1">OFFSET($P$27,-I69,0)</f>
        <v>39844</v>
      </c>
      <c r="N69" s="15">
        <f ca="1">OFFSET($P$27,-J69,0)</f>
        <v>40574</v>
      </c>
      <c r="Z69" s="1"/>
    </row>
    <row r="70" spans="2:26" x14ac:dyDescent="0.2">
      <c r="C70" s="2" t="e">
        <f ca="1">C69=$D69</f>
        <v>#VALUE!</v>
      </c>
      <c r="D70" s="2" t="b">
        <f ca="1">D69=$D69</f>
        <v>1</v>
      </c>
      <c r="E70" s="2" t="b">
        <f ca="1">E69=$D69</f>
        <v>0</v>
      </c>
      <c r="F70" s="2" t="e">
        <f ca="1">F69=$D69</f>
        <v>#NAME?</v>
      </c>
      <c r="Z70" s="1"/>
    </row>
    <row r="71" spans="2:26" x14ac:dyDescent="0.2">
      <c r="B71" s="27">
        <f>MAX($B$48:B70)+1</f>
        <v>10</v>
      </c>
      <c r="C71" s="9" t="s">
        <v>49</v>
      </c>
      <c r="Z71" s="1"/>
    </row>
    <row r="72" spans="2:26" x14ac:dyDescent="0.2">
      <c r="C72" s="25" t="e">
        <f>[1]!avg($X$9:$X$26,$K72,,$H72,$V$9:$V$26)</f>
        <v>#VALUE!</v>
      </c>
      <c r="D72" s="35">
        <f>SUMPRODUCT(X19:X21,V19:V21)/SUM(V19:V21)</f>
        <v>0.18193042385243113</v>
      </c>
      <c r="E72" s="32">
        <f>[2]!expavg($X$9:$X$26,$V$9:$V$26,K72,H72)</f>
        <v>0.74861722461014024</v>
      </c>
      <c r="F72" s="33" t="e">
        <f ca="1">expavg2($X$9:$X$26,I72,J72,$V$9:$V$26)</f>
        <v>#NAME?</v>
      </c>
      <c r="H72" s="2">
        <f>J72-1</f>
        <v>5</v>
      </c>
      <c r="I72" s="24">
        <v>12</v>
      </c>
      <c r="J72" s="24">
        <v>6</v>
      </c>
      <c r="K72" s="17">
        <f>I72-J72+1</f>
        <v>7</v>
      </c>
      <c r="M72" s="15">
        <f ca="1">OFFSET($P$27,-I72,0)</f>
        <v>38383</v>
      </c>
      <c r="N72" s="15">
        <f ca="1">OFFSET($P$27,-J72,0)</f>
        <v>40574</v>
      </c>
      <c r="Z72" s="1"/>
    </row>
    <row r="73" spans="2:26" x14ac:dyDescent="0.2">
      <c r="C73" s="2" t="e">
        <f>C72=$D72</f>
        <v>#VALUE!</v>
      </c>
      <c r="D73" s="2" t="b">
        <f>D72=$D72</f>
        <v>1</v>
      </c>
      <c r="E73" s="2" t="b">
        <f>E72=$D72</f>
        <v>0</v>
      </c>
      <c r="F73" s="2" t="e">
        <f ca="1">F72=$D72</f>
        <v>#NAME?</v>
      </c>
      <c r="Z73" s="1"/>
    </row>
    <row r="74" spans="2:26" x14ac:dyDescent="0.2">
      <c r="B74" s="27">
        <f>MAX($B$48:B73)+1</f>
        <v>11</v>
      </c>
      <c r="C74" s="9" t="s">
        <v>52</v>
      </c>
      <c r="Z74" s="1"/>
    </row>
    <row r="75" spans="2:26" ht="38.25" x14ac:dyDescent="0.2">
      <c r="C75" s="25" t="e">
        <f>[1]!avg($X$9:$X$26,$K75,,$H75,$V$9:$V$26)</f>
        <v>#VALUE!</v>
      </c>
      <c r="D75" s="25">
        <f ca="1">SUMPRODUCT(OFFSET($X$27,-I75,0,K75),OFFSET($V$27,-I75,0,K75))/SUM(OFFSET($V$27,-I75,0,K75))</f>
        <v>0.29512348128277283</v>
      </c>
      <c r="E75" s="33" t="str">
        <f>[2]!expavg($X$9:$X$26,$V$9:$V$26,K75,H75)</f>
        <v>ERROR: All pairs contain empty cells.</v>
      </c>
      <c r="F75" s="33" t="e">
        <f ca="1">expavg2($X$9:$X$26,I75,J75,$V$9:$V$26)</f>
        <v>#NAME?</v>
      </c>
      <c r="H75" s="2">
        <f>J75-1</f>
        <v>11</v>
      </c>
      <c r="I75" s="24">
        <v>13</v>
      </c>
      <c r="J75" s="24">
        <v>12</v>
      </c>
      <c r="K75" s="17">
        <f>I75-J75+1</f>
        <v>2</v>
      </c>
      <c r="M75" s="15">
        <f ca="1">OFFSET($P$27,-I75,0)</f>
        <v>38017</v>
      </c>
      <c r="N75" s="15">
        <f ca="1">OFFSET($P$27,-J75,0)</f>
        <v>38383</v>
      </c>
      <c r="Z75" s="1"/>
    </row>
    <row r="76" spans="2:26" x14ac:dyDescent="0.2">
      <c r="C76" s="2" t="e">
        <f ca="1">C75=$D75</f>
        <v>#VALUE!</v>
      </c>
      <c r="D76" s="2" t="b">
        <f ca="1">D75=$D75</f>
        <v>1</v>
      </c>
      <c r="E76" s="2" t="b">
        <f ca="1">E75=$D75</f>
        <v>0</v>
      </c>
      <c r="F76" s="2" t="e">
        <f ca="1">F75=$D75</f>
        <v>#NAME?</v>
      </c>
      <c r="Z76" s="1"/>
    </row>
    <row r="77" spans="2:26" x14ac:dyDescent="0.2">
      <c r="B77" s="27">
        <f>MAX($B$48:B76)+1</f>
        <v>12</v>
      </c>
      <c r="C77" s="9" t="s">
        <v>51</v>
      </c>
      <c r="Z77" s="1"/>
    </row>
    <row r="78" spans="2:26" x14ac:dyDescent="0.2">
      <c r="C78" s="25" t="e">
        <f>[1]!avg($X$9:$X$26,$K78,,$H78,$V$9:$V$26)</f>
        <v>#VALUE!</v>
      </c>
      <c r="D78" s="25">
        <f ca="1">SUMPRODUCT(OFFSET($X$27,-I78,0,K78),OFFSET($V$27,-I78,0,K78))/SUM(OFFSET($V$27,-I78,0,K78))</f>
        <v>0.49317121373703759</v>
      </c>
      <c r="E78" s="32">
        <f>[2]!expavg($X$9:$X$26,$V$9:$V$26,K78,H78)</f>
        <v>0.5380022794768452</v>
      </c>
      <c r="F78" s="33" t="e">
        <f ca="1">expavg2($X$9:$X$26,I78,J78,$V$9:$V$26)</f>
        <v>#NAME?</v>
      </c>
      <c r="H78" s="2">
        <f>J78-1</f>
        <v>1</v>
      </c>
      <c r="I78" s="24">
        <v>4</v>
      </c>
      <c r="J78" s="24">
        <v>2</v>
      </c>
      <c r="K78" s="17">
        <f>I78-J78+1</f>
        <v>3</v>
      </c>
      <c r="M78" s="15">
        <f ca="1">OFFSET($P$27,-I78,0)</f>
        <v>41305</v>
      </c>
      <c r="N78" s="15">
        <f ca="1">OFFSET($P$27,-J78,0)</f>
        <v>42035</v>
      </c>
      <c r="Z78" s="1"/>
    </row>
    <row r="79" spans="2:26" x14ac:dyDescent="0.2">
      <c r="C79" s="2" t="e">
        <f ca="1">C78=$D78</f>
        <v>#VALUE!</v>
      </c>
      <c r="D79" s="2" t="b">
        <f ca="1">D78=$D78</f>
        <v>1</v>
      </c>
      <c r="E79" s="2" t="b">
        <f ca="1">E78=$D78</f>
        <v>0</v>
      </c>
      <c r="F79" s="2" t="e">
        <f ca="1">F78=$D78</f>
        <v>#NAME?</v>
      </c>
      <c r="Z79" s="1"/>
    </row>
    <row r="80" spans="2:26" x14ac:dyDescent="0.2">
      <c r="B80" s="27">
        <f>MAX($B$48:B79)+1</f>
        <v>13</v>
      </c>
      <c r="C80" s="9" t="s">
        <v>50</v>
      </c>
      <c r="Z80" s="1"/>
    </row>
    <row r="81" spans="1:26" ht="38.25" x14ac:dyDescent="0.2">
      <c r="C81" s="25" t="e">
        <f>[1]!avg($X$9:$X$26,$K81,,$H81,$V$9:$V$26)</f>
        <v>#VALUE!</v>
      </c>
      <c r="D81" s="25">
        <f ca="1">SUMPRODUCT(OFFSET($X$27,-I81,0,K81),OFFSET($V$27,-I81,0,K81))/SUM(OFFSET($V$27,-I81,0,K81))</f>
        <v>0.80365133801494038</v>
      </c>
      <c r="E81" s="36" t="str">
        <f>[2]!expavg($X$9:$X$26,$V$9:$V$26,K81,H81)</f>
        <v>ERROR: All pairs contain empty cells.</v>
      </c>
      <c r="F81" s="33" t="e">
        <f ca="1">expavg2($X$9:$X$26,I81,J81,$V$9:$V$26)</f>
        <v>#NAME?</v>
      </c>
      <c r="H81" s="2">
        <f>J81-1</f>
        <v>15</v>
      </c>
      <c r="I81" s="24">
        <v>18</v>
      </c>
      <c r="J81" s="24">
        <v>16</v>
      </c>
      <c r="K81" s="17">
        <f>I81-J81+1</f>
        <v>3</v>
      </c>
      <c r="M81" s="15">
        <f ca="1">OFFSET($P$27,-I81,0)</f>
        <v>36191</v>
      </c>
      <c r="N81" s="15">
        <f ca="1">OFFSET($P$27,-J81,0)</f>
        <v>36922</v>
      </c>
      <c r="Z81" s="1"/>
    </row>
    <row r="82" spans="1:26" x14ac:dyDescent="0.2">
      <c r="C82" s="2" t="e">
        <f ca="1">C81=$D81</f>
        <v>#VALUE!</v>
      </c>
      <c r="D82" s="2" t="b">
        <f ca="1">D81=$D81</f>
        <v>1</v>
      </c>
      <c r="E82" s="2" t="b">
        <f ca="1">E81=$D81</f>
        <v>0</v>
      </c>
      <c r="F82" s="2" t="e">
        <f ca="1">F81=$D81</f>
        <v>#NAME?</v>
      </c>
      <c r="Z82" s="1"/>
    </row>
    <row r="83" spans="1:26" x14ac:dyDescent="0.2">
      <c r="B83" s="27">
        <f>MAX($B$48:B82)+1</f>
        <v>14</v>
      </c>
      <c r="C83" s="9" t="s">
        <v>51</v>
      </c>
      <c r="Z83" s="1"/>
    </row>
    <row r="84" spans="1:26" x14ac:dyDescent="0.2">
      <c r="C84" s="25" t="e">
        <f>[1]!avg($X$9:$X$26,$K84,,$H84,$V$9:$V$26)</f>
        <v>#VALUE!</v>
      </c>
      <c r="D84" s="25">
        <f ca="1">SUMPRODUCT(OFFSET($X$27,-I84,0,K84),OFFSET($V$27,-I84,0,K84))/SUM(OFFSET($V$27,-I84,0,K84))</f>
        <v>0.49317121373703759</v>
      </c>
      <c r="E84" s="32">
        <f>[2]!expavg($X$9:$X$26,$V$9:$V$26,K84,H84)</f>
        <v>0.5380022794768452</v>
      </c>
      <c r="F84" s="33" t="e">
        <f ca="1">expavg2($X$9:$X$26,I84,J84,$V$9:$V$26)</f>
        <v>#NAME?</v>
      </c>
      <c r="H84" s="2">
        <f>J84-1</f>
        <v>1</v>
      </c>
      <c r="I84" s="24">
        <v>4</v>
      </c>
      <c r="J84" s="24">
        <v>2</v>
      </c>
      <c r="K84" s="17">
        <f>I84-J84+1</f>
        <v>3</v>
      </c>
      <c r="M84" s="15">
        <f ca="1">OFFSET($P$27,-I84,0)</f>
        <v>41305</v>
      </c>
      <c r="N84" s="15">
        <f ca="1">OFFSET($P$27,-J84,0)</f>
        <v>42035</v>
      </c>
      <c r="Z84" s="1"/>
    </row>
    <row r="85" spans="1:26" x14ac:dyDescent="0.2">
      <c r="C85" s="2" t="e">
        <f ca="1">C84=$D84</f>
        <v>#VALUE!</v>
      </c>
      <c r="D85" s="2" t="b">
        <f ca="1">D84=$D84</f>
        <v>1</v>
      </c>
      <c r="E85" s="2" t="b">
        <f ca="1">E84=$D84</f>
        <v>0</v>
      </c>
      <c r="F85" s="2" t="e">
        <f ca="1">F84=$D84</f>
        <v>#NAME?</v>
      </c>
      <c r="Z85" s="1"/>
    </row>
    <row r="86" spans="1:26" x14ac:dyDescent="0.2">
      <c r="B86" s="27">
        <f>MAX($B$48:B85)+1</f>
        <v>15</v>
      </c>
      <c r="C86" s="9" t="s">
        <v>56</v>
      </c>
      <c r="Z86" s="1"/>
    </row>
    <row r="87" spans="1:26" x14ac:dyDescent="0.2">
      <c r="C87" s="25" t="e">
        <f>[1]!avg($Z$9:$Z$26,$K87,,$H87,$V$9:$V$26)</f>
        <v>#VALUE!</v>
      </c>
      <c r="D87" s="25">
        <f ca="1">SUMPRODUCT(OFFSET($Z$27,-I87,0,K87),OFFSET($V$27,-I87,0,K87))/SUM(OFFSET($V$27,-I87,0,K87))</f>
        <v>0.6302829993592769</v>
      </c>
      <c r="E87" s="32">
        <f>[2]!expavg($Z$9:$Z$26,$V$9:$V$26,K87,H87)</f>
        <v>0.63028299935927701</v>
      </c>
      <c r="F87" s="33" t="e">
        <f ca="1">expavg2($Z$9:$Z$26,I87,J87,$V$9:$V$26)</f>
        <v>#NAME?</v>
      </c>
      <c r="H87" s="2">
        <f>J87-1</f>
        <v>0</v>
      </c>
      <c r="I87" s="24">
        <v>18</v>
      </c>
      <c r="J87" s="24">
        <v>1</v>
      </c>
      <c r="K87" s="17">
        <f>I87-J87+1</f>
        <v>18</v>
      </c>
      <c r="M87" s="15">
        <f ca="1">OFFSET($P$27,-I87,0)</f>
        <v>36191</v>
      </c>
      <c r="N87" s="15">
        <f ca="1">OFFSET($P$27,-J87,0)</f>
        <v>42400</v>
      </c>
      <c r="Z87" s="1"/>
    </row>
    <row r="88" spans="1:26" x14ac:dyDescent="0.2">
      <c r="C88" s="2" t="e">
        <f ca="1">C87=$D87</f>
        <v>#VALUE!</v>
      </c>
      <c r="D88" s="2" t="b">
        <f ca="1">D87=$D87</f>
        <v>1</v>
      </c>
      <c r="E88" s="2" t="b">
        <f ca="1">E87=$D87</f>
        <v>1</v>
      </c>
      <c r="F88" s="2" t="e">
        <f ca="1">F87=$D87</f>
        <v>#NAME?</v>
      </c>
      <c r="Z88" s="1"/>
    </row>
    <row r="89" spans="1:26" x14ac:dyDescent="0.2">
      <c r="Z89" s="1"/>
    </row>
    <row r="90" spans="1:26" x14ac:dyDescent="0.2">
      <c r="A90" s="27">
        <f>MAX($A$1:A89)+1</f>
        <v>4</v>
      </c>
      <c r="B90" s="9" t="s">
        <v>57</v>
      </c>
      <c r="Z90" s="1"/>
    </row>
    <row r="91" spans="1:26" x14ac:dyDescent="0.2">
      <c r="B91" s="9" t="s">
        <v>58</v>
      </c>
      <c r="Z91" s="1"/>
    </row>
    <row r="92" spans="1:26" x14ac:dyDescent="0.2">
      <c r="B92" s="9" t="s">
        <v>59</v>
      </c>
      <c r="Z92" s="1"/>
    </row>
    <row r="93" spans="1:26" x14ac:dyDescent="0.2">
      <c r="B93" s="9" t="s">
        <v>60</v>
      </c>
      <c r="Z93" s="1"/>
    </row>
    <row r="94" spans="1:26" x14ac:dyDescent="0.2">
      <c r="Z94" s="1"/>
    </row>
    <row r="95" spans="1:26" x14ac:dyDescent="0.2">
      <c r="C95" s="29" t="s">
        <v>26</v>
      </c>
      <c r="D95" s="29"/>
      <c r="E95" s="29"/>
      <c r="F95" s="29"/>
      <c r="Z95" s="1"/>
    </row>
    <row r="96" spans="1:26" x14ac:dyDescent="0.2">
      <c r="C96" s="1" t="s">
        <v>35</v>
      </c>
      <c r="D96" s="1" t="s">
        <v>21</v>
      </c>
      <c r="E96" s="1" t="s">
        <v>9</v>
      </c>
      <c r="F96" s="1" t="s">
        <v>11</v>
      </c>
      <c r="H96" s="29" t="s">
        <v>15</v>
      </c>
      <c r="I96" s="29"/>
      <c r="J96" s="29"/>
      <c r="K96" s="29"/>
      <c r="M96" s="29" t="s">
        <v>16</v>
      </c>
      <c r="N96" s="29"/>
      <c r="Z96" s="1"/>
    </row>
    <row r="97" spans="2:26" x14ac:dyDescent="0.2">
      <c r="C97" s="28" t="s">
        <v>19</v>
      </c>
      <c r="D97" s="28" t="s">
        <v>1</v>
      </c>
      <c r="E97" s="28" t="s">
        <v>10</v>
      </c>
      <c r="F97" s="28" t="s">
        <v>10</v>
      </c>
      <c r="H97" s="28" t="s">
        <v>12</v>
      </c>
      <c r="I97" s="28" t="s">
        <v>2</v>
      </c>
      <c r="J97" s="28" t="s">
        <v>3</v>
      </c>
      <c r="K97" s="28" t="s">
        <v>18</v>
      </c>
      <c r="M97" s="28" t="s">
        <v>2</v>
      </c>
      <c r="N97" s="28" t="s">
        <v>3</v>
      </c>
      <c r="Z97" s="1"/>
    </row>
    <row r="98" spans="2:26" x14ac:dyDescent="0.2">
      <c r="C98" s="37">
        <f>[1]!avg($T$9:$T$26,$K98,,$H98,$R$9:$R$26)</f>
        <v>0.63400966146710269</v>
      </c>
      <c r="D98" s="37">
        <f ca="1">SUMPRODUCT(OFFSET($T$27,-I98,0,K98),OFFSET($R$27,-I98,0,K98))/SUM(OFFSET($R$27,-I98,0,K98))</f>
        <v>0.63400966146710203</v>
      </c>
      <c r="E98" s="38">
        <f>[2]!expavg($T$9:$T$26,$R$9:$R$26,K98,H98)</f>
        <v>0.63400966146710203</v>
      </c>
      <c r="F98" s="38">
        <f>[2]!expavg2($T$9:$T$26,I98,J98,$R$9:$R$26)</f>
        <v>0.63400966146710203</v>
      </c>
      <c r="H98" s="2">
        <f>J98-1</f>
        <v>14</v>
      </c>
      <c r="I98" s="24">
        <v>15</v>
      </c>
      <c r="J98" s="24">
        <v>15</v>
      </c>
      <c r="K98" s="17">
        <f>I98-J98+1</f>
        <v>1</v>
      </c>
      <c r="M98" s="15">
        <f ca="1">OFFSET($P$27,-I98,0)</f>
        <v>37287</v>
      </c>
      <c r="N98" s="15">
        <f ca="1">OFFSET($P$27,-J98,0)</f>
        <v>37287</v>
      </c>
      <c r="Z98" s="1"/>
    </row>
    <row r="99" spans="2:26" x14ac:dyDescent="0.2">
      <c r="B99" s="30"/>
      <c r="C99" s="39"/>
      <c r="D99" s="39"/>
      <c r="E99" s="38">
        <f>[2]!expavg($T$9:$T$26,$R$9:$R$26,K99,H99)</f>
        <v>0.57788078334889004</v>
      </c>
      <c r="F99" s="38">
        <f>[2]!expavg2($T$9:$T$26,I99,J99,$R$9:$R$26)</f>
        <v>0.57788078334889004</v>
      </c>
      <c r="H99" s="2">
        <f t="shared" ref="H99:H115" si="4">J99-1</f>
        <v>13</v>
      </c>
      <c r="I99" s="24">
        <f>I98</f>
        <v>15</v>
      </c>
      <c r="J99" s="24">
        <f>J98-1</f>
        <v>14</v>
      </c>
      <c r="K99" s="17">
        <f t="shared" ref="K99:K115" si="5">I99-J99+1</f>
        <v>2</v>
      </c>
      <c r="M99" s="15">
        <f t="shared" ref="M99:M115" ca="1" si="6">OFFSET($P$27,-I99,0)</f>
        <v>37287</v>
      </c>
      <c r="N99" s="15">
        <f t="shared" ref="N99:N115" ca="1" si="7">OFFSET($P$27,-J99,0)</f>
        <v>37652</v>
      </c>
      <c r="Z99" s="1"/>
    </row>
    <row r="100" spans="2:26" x14ac:dyDescent="0.2">
      <c r="C100" s="39"/>
      <c r="D100" s="39"/>
      <c r="E100" s="38">
        <f>[2]!expavg($T$9:$T$26,$R$9:$R$26,K100,H100)</f>
        <v>0.61032452361903999</v>
      </c>
      <c r="F100" s="38">
        <f>[2]!expavg2($T$9:$T$26,I100,J100,$R$9:$R$26)</f>
        <v>0.61032452361903999</v>
      </c>
      <c r="H100" s="2">
        <f t="shared" si="4"/>
        <v>12</v>
      </c>
      <c r="I100" s="24">
        <f t="shared" ref="I100:I114" si="8">I99</f>
        <v>15</v>
      </c>
      <c r="J100" s="24">
        <f t="shared" ref="J100:J114" si="9">J99-1</f>
        <v>13</v>
      </c>
      <c r="K100" s="17">
        <f t="shared" si="5"/>
        <v>3</v>
      </c>
      <c r="M100" s="15">
        <f t="shared" ca="1" si="6"/>
        <v>37287</v>
      </c>
      <c r="N100" s="15">
        <f t="shared" ca="1" si="7"/>
        <v>38017</v>
      </c>
      <c r="Z100" s="1"/>
    </row>
    <row r="101" spans="2:26" x14ac:dyDescent="0.2">
      <c r="C101" s="39"/>
      <c r="D101" s="39"/>
      <c r="E101" s="38">
        <f>[2]!expavg($T$9:$T$26,$R$9:$R$26,K101,H101)</f>
        <v>0.64514824416939831</v>
      </c>
      <c r="F101" s="38">
        <f>[2]!expavg2($T$9:$T$26,I101,J101,$R$9:$R$26)</f>
        <v>0.64514824416939831</v>
      </c>
      <c r="H101" s="2">
        <f t="shared" si="4"/>
        <v>11</v>
      </c>
      <c r="I101" s="24">
        <f t="shared" si="8"/>
        <v>15</v>
      </c>
      <c r="J101" s="24">
        <f t="shared" si="9"/>
        <v>12</v>
      </c>
      <c r="K101" s="17">
        <f t="shared" si="5"/>
        <v>4</v>
      </c>
      <c r="M101" s="15">
        <f t="shared" ca="1" si="6"/>
        <v>37287</v>
      </c>
      <c r="N101" s="15">
        <f t="shared" ca="1" si="7"/>
        <v>38383</v>
      </c>
      <c r="Z101" s="1"/>
    </row>
    <row r="102" spans="2:26" x14ac:dyDescent="0.2">
      <c r="C102" s="39"/>
      <c r="D102" s="39"/>
      <c r="E102" s="38">
        <f>[2]!expavg($T$9:$T$26,$R$9:$R$26,K102,H102)</f>
        <v>0.66909867462641348</v>
      </c>
      <c r="F102" s="38">
        <f>[2]!expavg2($T$9:$T$26,I102,J102,$R$9:$R$26)</f>
        <v>0.66909867462641348</v>
      </c>
      <c r="H102" s="2">
        <f t="shared" si="4"/>
        <v>10</v>
      </c>
      <c r="I102" s="24">
        <f t="shared" si="8"/>
        <v>15</v>
      </c>
      <c r="J102" s="24">
        <f t="shared" si="9"/>
        <v>11</v>
      </c>
      <c r="K102" s="17">
        <f t="shared" si="5"/>
        <v>5</v>
      </c>
      <c r="M102" s="15">
        <f t="shared" ca="1" si="6"/>
        <v>37287</v>
      </c>
      <c r="N102" s="15">
        <f t="shared" ca="1" si="7"/>
        <v>38748</v>
      </c>
      <c r="Z102" s="1"/>
    </row>
    <row r="103" spans="2:26" x14ac:dyDescent="0.2">
      <c r="C103" s="39"/>
      <c r="D103" s="39"/>
      <c r="E103" s="38">
        <f>[2]!expavg($T$9:$T$26,$R$9:$R$26,K103,H103)</f>
        <v>0.64831332513557505</v>
      </c>
      <c r="F103" s="38">
        <f>[2]!expavg2($T$9:$T$26,I103,J103,$R$9:$R$26)</f>
        <v>0.64831332513557505</v>
      </c>
      <c r="H103" s="2">
        <f t="shared" si="4"/>
        <v>9</v>
      </c>
      <c r="I103" s="24">
        <f t="shared" si="8"/>
        <v>15</v>
      </c>
      <c r="J103" s="24">
        <f t="shared" si="9"/>
        <v>10</v>
      </c>
      <c r="K103" s="17">
        <f t="shared" si="5"/>
        <v>6</v>
      </c>
      <c r="M103" s="15">
        <f t="shared" ca="1" si="6"/>
        <v>37287</v>
      </c>
      <c r="N103" s="15">
        <f t="shared" ca="1" si="7"/>
        <v>39113</v>
      </c>
      <c r="Z103" s="1"/>
    </row>
    <row r="104" spans="2:26" x14ac:dyDescent="0.2">
      <c r="C104" s="39"/>
      <c r="D104" s="39"/>
      <c r="E104" s="38">
        <f>[2]!expavg($T$9:$T$26,$R$9:$R$26,K104,H104)</f>
        <v>0.64355645483756574</v>
      </c>
      <c r="F104" s="38">
        <f>[2]!expavg2($T$9:$T$26,I104,J104,$R$9:$R$26)</f>
        <v>0.64355645483756574</v>
      </c>
      <c r="H104" s="2">
        <f t="shared" si="4"/>
        <v>8</v>
      </c>
      <c r="I104" s="24">
        <f t="shared" si="8"/>
        <v>15</v>
      </c>
      <c r="J104" s="24">
        <f t="shared" si="9"/>
        <v>9</v>
      </c>
      <c r="K104" s="17">
        <f t="shared" si="5"/>
        <v>7</v>
      </c>
      <c r="M104" s="15">
        <f t="shared" ca="1" si="6"/>
        <v>37287</v>
      </c>
      <c r="N104" s="15">
        <f t="shared" ca="1" si="7"/>
        <v>39478</v>
      </c>
      <c r="Z104" s="1"/>
    </row>
    <row r="105" spans="2:26" x14ac:dyDescent="0.2">
      <c r="C105" s="39"/>
      <c r="D105" s="39"/>
      <c r="E105" s="38">
        <f>[2]!expavg($T$9:$T$26,$R$9:$R$26,K105,H105)</f>
        <v>0.67101975405134229</v>
      </c>
      <c r="F105" s="38">
        <f>[2]!expavg2($T$9:$T$26,I105,J105,$R$9:$R$26)</f>
        <v>0.67101975405134229</v>
      </c>
      <c r="H105" s="2">
        <f t="shared" si="4"/>
        <v>7</v>
      </c>
      <c r="I105" s="24">
        <f t="shared" si="8"/>
        <v>15</v>
      </c>
      <c r="J105" s="24">
        <f t="shared" si="9"/>
        <v>8</v>
      </c>
      <c r="K105" s="17">
        <f t="shared" si="5"/>
        <v>8</v>
      </c>
      <c r="M105" s="15">
        <f t="shared" ca="1" si="6"/>
        <v>37287</v>
      </c>
      <c r="N105" s="15">
        <f t="shared" ca="1" si="7"/>
        <v>39844</v>
      </c>
      <c r="Z105" s="1"/>
    </row>
    <row r="106" spans="2:26" x14ac:dyDescent="0.2">
      <c r="C106" s="39"/>
      <c r="D106" s="39"/>
      <c r="E106" s="38">
        <f>[2]!expavg($T$9:$T$26,$R$9:$R$26,K106,H106)</f>
        <v>0.66255345762325601</v>
      </c>
      <c r="F106" s="38">
        <f>[2]!expavg2($T$9:$T$26,I106,J106,$R$9:$R$26)</f>
        <v>0.66255345762325601</v>
      </c>
      <c r="H106" s="2">
        <f t="shared" si="4"/>
        <v>6</v>
      </c>
      <c r="I106" s="24">
        <f t="shared" si="8"/>
        <v>15</v>
      </c>
      <c r="J106" s="24">
        <f t="shared" si="9"/>
        <v>7</v>
      </c>
      <c r="K106" s="17">
        <f t="shared" si="5"/>
        <v>9</v>
      </c>
      <c r="M106" s="15">
        <f t="shared" ca="1" si="6"/>
        <v>37287</v>
      </c>
      <c r="N106" s="15">
        <f t="shared" ca="1" si="7"/>
        <v>40209</v>
      </c>
      <c r="Z106" s="1"/>
    </row>
    <row r="107" spans="2:26" x14ac:dyDescent="0.2">
      <c r="C107" s="39"/>
      <c r="D107" s="39"/>
      <c r="E107" s="38">
        <f>[2]!expavg($T$9:$T$26,$R$9:$R$26,K107,H107)</f>
        <v>0.64462190640369466</v>
      </c>
      <c r="F107" s="38">
        <f>[2]!expavg2($T$9:$T$26,I107,J107,$R$9:$R$26)</f>
        <v>0.64462190640369466</v>
      </c>
      <c r="H107" s="2">
        <f t="shared" si="4"/>
        <v>5</v>
      </c>
      <c r="I107" s="24">
        <f t="shared" si="8"/>
        <v>15</v>
      </c>
      <c r="J107" s="24">
        <f t="shared" si="9"/>
        <v>6</v>
      </c>
      <c r="K107" s="17">
        <f t="shared" si="5"/>
        <v>10</v>
      </c>
      <c r="M107" s="15">
        <f t="shared" ca="1" si="6"/>
        <v>37287</v>
      </c>
      <c r="N107" s="15">
        <f t="shared" ca="1" si="7"/>
        <v>40574</v>
      </c>
      <c r="Z107" s="1"/>
    </row>
    <row r="108" spans="2:26" x14ac:dyDescent="0.2">
      <c r="C108" s="39"/>
      <c r="D108" s="39"/>
      <c r="E108" s="38">
        <f>[2]!expavg($T$9:$T$26,$R$9:$R$26,K108,H108)</f>
        <v>0.62354701063315221</v>
      </c>
      <c r="F108" s="38">
        <f>[2]!expavg2($T$9:$T$26,I108,J108,$R$9:$R$26)</f>
        <v>0.62354701063315221</v>
      </c>
      <c r="H108" s="2">
        <f t="shared" si="4"/>
        <v>4</v>
      </c>
      <c r="I108" s="24">
        <f t="shared" si="8"/>
        <v>15</v>
      </c>
      <c r="J108" s="24">
        <f t="shared" si="9"/>
        <v>5</v>
      </c>
      <c r="K108" s="17">
        <f t="shared" si="5"/>
        <v>11</v>
      </c>
      <c r="M108" s="15">
        <f t="shared" ca="1" si="6"/>
        <v>37287</v>
      </c>
      <c r="N108" s="15">
        <f t="shared" ca="1" si="7"/>
        <v>40939</v>
      </c>
      <c r="Z108" s="1"/>
    </row>
    <row r="109" spans="2:26" x14ac:dyDescent="0.2">
      <c r="C109" s="39"/>
      <c r="D109" s="39"/>
      <c r="E109" s="38">
        <f>[2]!expavg($T$9:$T$26,$R$9:$R$26,K109,H109)</f>
        <v>0.61085870418190702</v>
      </c>
      <c r="F109" s="38">
        <f>[2]!expavg2($T$9:$T$26,I109,J109,$R$9:$R$26)</f>
        <v>0.61085870418190702</v>
      </c>
      <c r="H109" s="2">
        <f t="shared" si="4"/>
        <v>3</v>
      </c>
      <c r="I109" s="24">
        <f t="shared" si="8"/>
        <v>15</v>
      </c>
      <c r="J109" s="24">
        <f t="shared" si="9"/>
        <v>4</v>
      </c>
      <c r="K109" s="17">
        <f t="shared" si="5"/>
        <v>12</v>
      </c>
      <c r="M109" s="15">
        <f t="shared" ca="1" si="6"/>
        <v>37287</v>
      </c>
      <c r="N109" s="15">
        <f t="shared" ca="1" si="7"/>
        <v>41305</v>
      </c>
      <c r="Z109" s="1"/>
    </row>
    <row r="110" spans="2:26" x14ac:dyDescent="0.2">
      <c r="C110" s="39"/>
      <c r="D110" s="39"/>
      <c r="E110" s="38">
        <f>[2]!expavg($T$9:$T$26,$R$9:$R$26,K110,H110)</f>
        <v>0.60350159203245468</v>
      </c>
      <c r="F110" s="38">
        <f>[2]!expavg2($T$9:$T$26,I110,J110,$R$9:$R$26)</f>
        <v>0.60350159203245468</v>
      </c>
      <c r="H110" s="2">
        <f t="shared" si="4"/>
        <v>2</v>
      </c>
      <c r="I110" s="24">
        <f t="shared" si="8"/>
        <v>15</v>
      </c>
      <c r="J110" s="24">
        <f t="shared" si="9"/>
        <v>3</v>
      </c>
      <c r="K110" s="17">
        <f t="shared" si="5"/>
        <v>13</v>
      </c>
      <c r="M110" s="15">
        <f t="shared" ca="1" si="6"/>
        <v>37287</v>
      </c>
      <c r="N110" s="15">
        <f t="shared" ca="1" si="7"/>
        <v>41670</v>
      </c>
      <c r="Z110" s="1"/>
    </row>
    <row r="111" spans="2:26" x14ac:dyDescent="0.2">
      <c r="C111" s="39"/>
      <c r="D111" s="39"/>
      <c r="E111" s="38">
        <f>[2]!expavg($T$9:$T$26,$R$9:$R$26,K111,H111)</f>
        <v>0.59024074282047634</v>
      </c>
      <c r="F111" s="38">
        <f>[2]!expavg2($T$9:$T$26,I111,J111,$R$9:$R$26)</f>
        <v>0.59024074282047634</v>
      </c>
      <c r="H111" s="2">
        <f t="shared" si="4"/>
        <v>1</v>
      </c>
      <c r="I111" s="24">
        <f t="shared" si="8"/>
        <v>15</v>
      </c>
      <c r="J111" s="24">
        <f t="shared" si="9"/>
        <v>2</v>
      </c>
      <c r="K111" s="17">
        <f t="shared" si="5"/>
        <v>14</v>
      </c>
      <c r="M111" s="15">
        <f t="shared" ca="1" si="6"/>
        <v>37287</v>
      </c>
      <c r="N111" s="15">
        <f t="shared" ca="1" si="7"/>
        <v>42035</v>
      </c>
      <c r="Z111" s="1"/>
    </row>
    <row r="112" spans="2:26" x14ac:dyDescent="0.2">
      <c r="C112" s="39"/>
      <c r="D112" s="39"/>
      <c r="E112" s="38">
        <f>[2]!expavg($T$9:$T$26,$R$9:$R$26,K112,H112)</f>
        <v>0.588093751493456</v>
      </c>
      <c r="F112" s="38">
        <f>[2]!expavg2($T$9:$T$26,I112,J112,$R$9:$R$26)</f>
        <v>0.588093751493456</v>
      </c>
      <c r="H112" s="2">
        <f t="shared" si="4"/>
        <v>0</v>
      </c>
      <c r="I112" s="24">
        <f t="shared" si="8"/>
        <v>15</v>
      </c>
      <c r="J112" s="24">
        <f t="shared" si="9"/>
        <v>1</v>
      </c>
      <c r="K112" s="17">
        <f t="shared" si="5"/>
        <v>15</v>
      </c>
      <c r="M112" s="15">
        <f t="shared" ca="1" si="6"/>
        <v>37287</v>
      </c>
      <c r="N112" s="15">
        <f t="shared" ca="1" si="7"/>
        <v>42400</v>
      </c>
      <c r="Z112" s="1"/>
    </row>
    <row r="113" spans="3:26" x14ac:dyDescent="0.2">
      <c r="C113" s="39"/>
      <c r="D113" s="39"/>
      <c r="E113" s="38">
        <f>[2]!expavg($T$9:$T$26,$R$9:$R$26,K113,H113)</f>
        <v>0.59629515190861937</v>
      </c>
      <c r="F113" s="38" t="str">
        <f>[2]!expavg2($T$9:$T$26,I113,J113,$R$9:$R$26)</f>
        <v>ERROR: Please use EndPeriod &gt;= 1.</v>
      </c>
      <c r="H113" s="2">
        <f t="shared" si="4"/>
        <v>-1</v>
      </c>
      <c r="I113" s="24">
        <f t="shared" si="8"/>
        <v>15</v>
      </c>
      <c r="J113" s="24">
        <f t="shared" si="9"/>
        <v>0</v>
      </c>
      <c r="K113" s="17">
        <f t="shared" si="5"/>
        <v>16</v>
      </c>
      <c r="M113" s="15">
        <f t="shared" ca="1" si="6"/>
        <v>37287</v>
      </c>
      <c r="N113" s="15">
        <f t="shared" ca="1" si="7"/>
        <v>0</v>
      </c>
      <c r="Z113" s="1"/>
    </row>
    <row r="114" spans="3:26" x14ac:dyDescent="0.2">
      <c r="C114" s="39"/>
      <c r="D114" s="39"/>
      <c r="E114" s="38">
        <f>[2]!expavg($T$9:$T$26,$R$9:$R$26,K114,H114)</f>
        <v>0.60556896507619462</v>
      </c>
      <c r="F114" s="38" t="str">
        <f>[2]!expavg2($T$9:$T$26,I114,J114,$R$9:$R$26)</f>
        <v>ERROR: Please use EndPeriod &gt;= 1.</v>
      </c>
      <c r="H114" s="2">
        <f t="shared" si="4"/>
        <v>-2</v>
      </c>
      <c r="I114" s="24">
        <f t="shared" si="8"/>
        <v>15</v>
      </c>
      <c r="J114" s="24">
        <f t="shared" si="9"/>
        <v>-1</v>
      </c>
      <c r="K114" s="17">
        <f t="shared" si="5"/>
        <v>17</v>
      </c>
      <c r="M114" s="15">
        <f t="shared" ca="1" si="6"/>
        <v>37287</v>
      </c>
      <c r="N114" s="15">
        <f t="shared" ca="1" si="7"/>
        <v>0</v>
      </c>
      <c r="Z114" s="1"/>
    </row>
    <row r="115" spans="3:26" x14ac:dyDescent="0.2">
      <c r="C115" s="39"/>
      <c r="D115" s="39"/>
      <c r="E115" s="38">
        <f>[2]!expavg($T$9:$T$26,$R$9:$R$26,K115,H115)</f>
        <v>0.70939186407915755</v>
      </c>
      <c r="F115" s="38" t="str">
        <f>[2]!expavg2($T$9:$T$26,I115,J115,$R$9:$R$26)</f>
        <v>ERROR: Please use EndPeriod &lt; BegPeriod.</v>
      </c>
      <c r="H115" s="2">
        <f t="shared" si="4"/>
        <v>14</v>
      </c>
      <c r="I115" s="24">
        <f>I98-1</f>
        <v>14</v>
      </c>
      <c r="J115" s="24">
        <f>J98</f>
        <v>15</v>
      </c>
      <c r="K115" s="17">
        <f t="shared" si="5"/>
        <v>0</v>
      </c>
      <c r="M115" s="15">
        <f t="shared" ca="1" si="6"/>
        <v>37652</v>
      </c>
      <c r="N115" s="15">
        <f t="shared" ca="1" si="7"/>
        <v>37287</v>
      </c>
      <c r="Z115" s="1"/>
    </row>
    <row r="116" spans="3:26" x14ac:dyDescent="0.2">
      <c r="C116" s="39"/>
      <c r="D116" s="39"/>
      <c r="E116" s="38">
        <f>[2]!expavg($T$9:$T$26,$R$9:$R$26,K116,H116)</f>
        <v>0.52267412863180895</v>
      </c>
      <c r="F116" s="38">
        <f>[2]!expavg2($T$9:$T$26,I116,J116,$R$9:$R$26)</f>
        <v>0.52267412863180895</v>
      </c>
      <c r="H116" s="2">
        <f t="shared" ref="H116:H163" si="10">J116-1</f>
        <v>13</v>
      </c>
      <c r="I116" s="24">
        <f t="shared" ref="I116:I179" si="11">I99-1</f>
        <v>14</v>
      </c>
      <c r="J116" s="24">
        <f t="shared" ref="J116:J179" si="12">J99</f>
        <v>14</v>
      </c>
      <c r="K116" s="17">
        <f t="shared" ref="K116:K163" si="13">I116-J116+1</f>
        <v>1</v>
      </c>
      <c r="M116" s="15">
        <f t="shared" ref="M116:M163" ca="1" si="14">OFFSET($P$27,-I116,0)</f>
        <v>37652</v>
      </c>
      <c r="N116" s="15">
        <f t="shared" ref="N116:N163" ca="1" si="15">OFFSET($P$27,-J116,0)</f>
        <v>37652</v>
      </c>
      <c r="Z116" s="1"/>
    </row>
    <row r="117" spans="3:26" x14ac:dyDescent="0.2">
      <c r="C117" s="39"/>
      <c r="D117" s="39"/>
      <c r="E117" s="38">
        <f>[2]!expavg($T$9:$T$26,$R$9:$R$26,K117,H117)</f>
        <v>0.60012097974030909</v>
      </c>
      <c r="F117" s="38">
        <f>[2]!expavg2($T$9:$T$26,I117,J117,$R$9:$R$26)</f>
        <v>0.60012097974030909</v>
      </c>
      <c r="H117" s="2">
        <f t="shared" si="10"/>
        <v>12</v>
      </c>
      <c r="I117" s="24">
        <f t="shared" si="11"/>
        <v>14</v>
      </c>
      <c r="J117" s="24">
        <f t="shared" si="12"/>
        <v>13</v>
      </c>
      <c r="K117" s="17">
        <f t="shared" si="13"/>
        <v>2</v>
      </c>
      <c r="M117" s="15">
        <f t="shared" ca="1" si="14"/>
        <v>37652</v>
      </c>
      <c r="N117" s="15">
        <f t="shared" ca="1" si="15"/>
        <v>38017</v>
      </c>
      <c r="Z117" s="1"/>
    </row>
    <row r="118" spans="3:26" x14ac:dyDescent="0.2">
      <c r="C118" s="39"/>
      <c r="D118" s="39"/>
      <c r="E118" s="38">
        <f>[2]!expavg($T$9:$T$26,$R$9:$R$26,K118,H118)</f>
        <v>0.64797796780372308</v>
      </c>
      <c r="F118" s="38">
        <f>[2]!expavg2($T$9:$T$26,I118,J118,$R$9:$R$26)</f>
        <v>0.64797796780372308</v>
      </c>
      <c r="H118" s="2">
        <f t="shared" si="10"/>
        <v>11</v>
      </c>
      <c r="I118" s="24">
        <f t="shared" si="11"/>
        <v>14</v>
      </c>
      <c r="J118" s="24">
        <f t="shared" si="12"/>
        <v>12</v>
      </c>
      <c r="K118" s="17">
        <f t="shared" si="13"/>
        <v>3</v>
      </c>
      <c r="M118" s="15">
        <f t="shared" ca="1" si="14"/>
        <v>37652</v>
      </c>
      <c r="N118" s="15">
        <f t="shared" ca="1" si="15"/>
        <v>38383</v>
      </c>
      <c r="Z118" s="1"/>
    </row>
    <row r="119" spans="3:26" x14ac:dyDescent="0.2">
      <c r="C119" s="39"/>
      <c r="D119" s="39"/>
      <c r="E119" s="38">
        <f>[2]!expavg($T$9:$T$26,$R$9:$R$26,K119,H119)</f>
        <v>0.6753486052490919</v>
      </c>
      <c r="F119" s="38">
        <f>[2]!expavg2($T$9:$T$26,I119,J119,$R$9:$R$26)</f>
        <v>0.6753486052490919</v>
      </c>
      <c r="H119" s="2">
        <f t="shared" si="10"/>
        <v>10</v>
      </c>
      <c r="I119" s="24">
        <f t="shared" si="11"/>
        <v>14</v>
      </c>
      <c r="J119" s="24">
        <f t="shared" si="12"/>
        <v>11</v>
      </c>
      <c r="K119" s="17">
        <f t="shared" si="13"/>
        <v>4</v>
      </c>
      <c r="M119" s="15">
        <f t="shared" ca="1" si="14"/>
        <v>37652</v>
      </c>
      <c r="N119" s="15">
        <f t="shared" ca="1" si="15"/>
        <v>38748</v>
      </c>
      <c r="Z119" s="1"/>
    </row>
    <row r="120" spans="3:26" x14ac:dyDescent="0.2">
      <c r="C120" s="39"/>
      <c r="D120" s="39"/>
      <c r="E120" s="38">
        <f>[2]!expavg($T$9:$T$26,$R$9:$R$26,K120,H120)</f>
        <v>0.65031405224996497</v>
      </c>
      <c r="F120" s="38">
        <f>[2]!expavg2($T$9:$T$26,I120,J120,$R$9:$R$26)</f>
        <v>0.65031405224996497</v>
      </c>
      <c r="H120" s="2">
        <f t="shared" si="10"/>
        <v>9</v>
      </c>
      <c r="I120" s="24">
        <f t="shared" si="11"/>
        <v>14</v>
      </c>
      <c r="J120" s="24">
        <f t="shared" si="12"/>
        <v>10</v>
      </c>
      <c r="K120" s="17">
        <f t="shared" si="13"/>
        <v>5</v>
      </c>
      <c r="M120" s="15">
        <f t="shared" ca="1" si="14"/>
        <v>37652</v>
      </c>
      <c r="N120" s="15">
        <f t="shared" ca="1" si="15"/>
        <v>39113</v>
      </c>
      <c r="Z120" s="1"/>
    </row>
    <row r="121" spans="3:26" x14ac:dyDescent="0.2">
      <c r="C121" s="39"/>
      <c r="D121" s="39"/>
      <c r="E121" s="38">
        <f>[2]!expavg($T$9:$T$26,$R$9:$R$26,K121,H121)</f>
        <v>0.64466313968146016</v>
      </c>
      <c r="F121" s="38">
        <f>[2]!expavg2($T$9:$T$26,I121,J121,$R$9:$R$26)</f>
        <v>0.64466313968146016</v>
      </c>
      <c r="H121" s="2">
        <f t="shared" si="10"/>
        <v>8</v>
      </c>
      <c r="I121" s="24">
        <f t="shared" si="11"/>
        <v>14</v>
      </c>
      <c r="J121" s="24">
        <f t="shared" si="12"/>
        <v>9</v>
      </c>
      <c r="K121" s="17">
        <f t="shared" si="13"/>
        <v>6</v>
      </c>
      <c r="M121" s="15">
        <f t="shared" ca="1" si="14"/>
        <v>37652</v>
      </c>
      <c r="N121" s="15">
        <f t="shared" ca="1" si="15"/>
        <v>39478</v>
      </c>
      <c r="Z121" s="1"/>
    </row>
    <row r="122" spans="3:26" x14ac:dyDescent="0.2">
      <c r="C122" s="39"/>
      <c r="D122" s="39"/>
      <c r="E122" s="38">
        <f>[2]!expavg($T$9:$T$26,$R$9:$R$26,K122,H122)</f>
        <v>0.67465690646461374</v>
      </c>
      <c r="F122" s="38">
        <f>[2]!expavg2($T$9:$T$26,I122,J122,$R$9:$R$26)</f>
        <v>0.67465690646461374</v>
      </c>
      <c r="H122" s="2">
        <f t="shared" si="10"/>
        <v>7</v>
      </c>
      <c r="I122" s="24">
        <f t="shared" si="11"/>
        <v>14</v>
      </c>
      <c r="J122" s="24">
        <f t="shared" si="12"/>
        <v>8</v>
      </c>
      <c r="K122" s="17">
        <f t="shared" si="13"/>
        <v>7</v>
      </c>
      <c r="M122" s="15">
        <f t="shared" ca="1" si="14"/>
        <v>37652</v>
      </c>
      <c r="N122" s="15">
        <f t="shared" ca="1" si="15"/>
        <v>39844</v>
      </c>
      <c r="Z122" s="1"/>
    </row>
    <row r="123" spans="3:26" x14ac:dyDescent="0.2">
      <c r="C123" s="39"/>
      <c r="D123" s="39"/>
      <c r="E123" s="38">
        <f>[2]!expavg($T$9:$T$26,$R$9:$R$26,K123,H123)</f>
        <v>0.66497112516238688</v>
      </c>
      <c r="F123" s="38">
        <f>[2]!expavg2($T$9:$T$26,I123,J123,$R$9:$R$26)</f>
        <v>0.66497112516238688</v>
      </c>
      <c r="H123" s="2">
        <f t="shared" si="10"/>
        <v>6</v>
      </c>
      <c r="I123" s="24">
        <f t="shared" si="11"/>
        <v>14</v>
      </c>
      <c r="J123" s="24">
        <f t="shared" si="12"/>
        <v>7</v>
      </c>
      <c r="K123" s="17">
        <f t="shared" si="13"/>
        <v>8</v>
      </c>
      <c r="M123" s="15">
        <f t="shared" ca="1" si="14"/>
        <v>37652</v>
      </c>
      <c r="N123" s="15">
        <f t="shared" ca="1" si="15"/>
        <v>40209</v>
      </c>
      <c r="Z123" s="1"/>
    </row>
    <row r="124" spans="3:26" x14ac:dyDescent="0.2">
      <c r="C124" s="39"/>
      <c r="D124" s="39"/>
      <c r="E124" s="38">
        <f>[2]!expavg($T$9:$T$26,$R$9:$R$26,K124,H124)</f>
        <v>0.64540492655885306</v>
      </c>
      <c r="F124" s="38">
        <f>[2]!expavg2($T$9:$T$26,I124,J124,$R$9:$R$26)</f>
        <v>0.64540492655885306</v>
      </c>
      <c r="H124" s="2">
        <f t="shared" si="10"/>
        <v>5</v>
      </c>
      <c r="I124" s="24">
        <f t="shared" si="11"/>
        <v>14</v>
      </c>
      <c r="J124" s="24">
        <f t="shared" si="12"/>
        <v>6</v>
      </c>
      <c r="K124" s="17">
        <f t="shared" si="13"/>
        <v>9</v>
      </c>
      <c r="M124" s="15">
        <f t="shared" ca="1" si="14"/>
        <v>37652</v>
      </c>
      <c r="N124" s="15">
        <f t="shared" ca="1" si="15"/>
        <v>40574</v>
      </c>
      <c r="Z124" s="1"/>
    </row>
    <row r="125" spans="3:26" x14ac:dyDescent="0.2">
      <c r="C125" s="39"/>
      <c r="D125" s="39"/>
      <c r="E125" s="38">
        <f>[2]!expavg($T$9:$T$26,$R$9:$R$26,K125,H125)</f>
        <v>0.62288389252452037</v>
      </c>
      <c r="F125" s="38">
        <f>[2]!expavg2($T$9:$T$26,I125,J125,$R$9:$R$26)</f>
        <v>0.62288389252452037</v>
      </c>
      <c r="H125" s="2">
        <f t="shared" si="10"/>
        <v>4</v>
      </c>
      <c r="I125" s="24">
        <f t="shared" si="11"/>
        <v>14</v>
      </c>
      <c r="J125" s="24">
        <f t="shared" si="12"/>
        <v>5</v>
      </c>
      <c r="K125" s="17">
        <f t="shared" si="13"/>
        <v>10</v>
      </c>
      <c r="M125" s="15">
        <f t="shared" ca="1" si="14"/>
        <v>37652</v>
      </c>
      <c r="N125" s="15">
        <f t="shared" ca="1" si="15"/>
        <v>40939</v>
      </c>
      <c r="Z125" s="1"/>
    </row>
    <row r="126" spans="3:26" x14ac:dyDescent="0.2">
      <c r="C126" s="39"/>
      <c r="D126" s="39"/>
      <c r="E126" s="38">
        <f>[2]!expavg($T$9:$T$26,$R$9:$R$26,K126,H126)</f>
        <v>0.60954232542762621</v>
      </c>
      <c r="F126" s="38">
        <f>[2]!expavg2($T$9:$T$26,I126,J126,$R$9:$R$26)</f>
        <v>0.60954232542762621</v>
      </c>
      <c r="H126" s="2">
        <f t="shared" si="10"/>
        <v>3</v>
      </c>
      <c r="I126" s="24">
        <f t="shared" si="11"/>
        <v>14</v>
      </c>
      <c r="J126" s="24">
        <f t="shared" si="12"/>
        <v>4</v>
      </c>
      <c r="K126" s="17">
        <f t="shared" si="13"/>
        <v>11</v>
      </c>
      <c r="M126" s="15">
        <f t="shared" ca="1" si="14"/>
        <v>37652</v>
      </c>
      <c r="N126" s="15">
        <f t="shared" ca="1" si="15"/>
        <v>41305</v>
      </c>
      <c r="Z126" s="1"/>
    </row>
    <row r="127" spans="3:26" x14ac:dyDescent="0.2">
      <c r="C127" s="39"/>
      <c r="D127" s="39"/>
      <c r="E127" s="38">
        <f>[2]!expavg($T$9:$T$26,$R$9:$R$26,K127,H127)</f>
        <v>0.60192925212108561</v>
      </c>
      <c r="F127" s="38">
        <f>[2]!expavg2($T$9:$T$26,I127,J127,$R$9:$R$26)</f>
        <v>0.60192925212108561</v>
      </c>
      <c r="H127" s="2">
        <f t="shared" si="10"/>
        <v>2</v>
      </c>
      <c r="I127" s="24">
        <f t="shared" si="11"/>
        <v>14</v>
      </c>
      <c r="J127" s="24">
        <f t="shared" si="12"/>
        <v>3</v>
      </c>
      <c r="K127" s="17">
        <f t="shared" si="13"/>
        <v>12</v>
      </c>
      <c r="M127" s="15">
        <f t="shared" ca="1" si="14"/>
        <v>37652</v>
      </c>
      <c r="N127" s="15">
        <f t="shared" ca="1" si="15"/>
        <v>41670</v>
      </c>
      <c r="Z127" s="1"/>
    </row>
    <row r="128" spans="3:26" x14ac:dyDescent="0.2">
      <c r="C128" s="39"/>
      <c r="D128" s="39"/>
      <c r="E128" s="38">
        <f>[2]!expavg($T$9:$T$26,$R$9:$R$26,K128,H128)</f>
        <v>0.5881778046923708</v>
      </c>
      <c r="F128" s="38">
        <f>[2]!expavg2($T$9:$T$26,I128,J128,$R$9:$R$26)</f>
        <v>0.5881778046923708</v>
      </c>
      <c r="H128" s="2">
        <f t="shared" si="10"/>
        <v>1</v>
      </c>
      <c r="I128" s="24">
        <f t="shared" si="11"/>
        <v>14</v>
      </c>
      <c r="J128" s="24">
        <f t="shared" si="12"/>
        <v>2</v>
      </c>
      <c r="K128" s="17">
        <f t="shared" si="13"/>
        <v>13</v>
      </c>
      <c r="M128" s="15">
        <f t="shared" ca="1" si="14"/>
        <v>37652</v>
      </c>
      <c r="N128" s="15">
        <f t="shared" ca="1" si="15"/>
        <v>42035</v>
      </c>
      <c r="Z128" s="1"/>
    </row>
    <row r="129" spans="3:26" x14ac:dyDescent="0.2">
      <c r="C129" s="39"/>
      <c r="D129" s="39"/>
      <c r="E129" s="38">
        <f>[2]!expavg($T$9:$T$26,$R$9:$R$26,K129,H129)</f>
        <v>0.58606252655792312</v>
      </c>
      <c r="F129" s="38">
        <f>[2]!expavg2($T$9:$T$26,I129,J129,$R$9:$R$26)</f>
        <v>0.58606252655792312</v>
      </c>
      <c r="H129" s="2">
        <f t="shared" si="10"/>
        <v>0</v>
      </c>
      <c r="I129" s="24">
        <f t="shared" si="11"/>
        <v>14</v>
      </c>
      <c r="J129" s="24">
        <f t="shared" si="12"/>
        <v>1</v>
      </c>
      <c r="K129" s="17">
        <f t="shared" si="13"/>
        <v>14</v>
      </c>
      <c r="M129" s="15">
        <f t="shared" ca="1" si="14"/>
        <v>37652</v>
      </c>
      <c r="N129" s="15">
        <f t="shared" ca="1" si="15"/>
        <v>42400</v>
      </c>
      <c r="Z129" s="1"/>
    </row>
    <row r="130" spans="3:26" x14ac:dyDescent="0.2">
      <c r="C130" s="39"/>
      <c r="D130" s="39"/>
      <c r="E130" s="38">
        <f>[2]!expavg($T$9:$T$26,$R$9:$R$26,K130,H130)</f>
        <v>0.588093751493456</v>
      </c>
      <c r="F130" s="38" t="str">
        <f>[2]!expavg2($T$9:$T$26,I130,J130,$R$9:$R$26)</f>
        <v>ERROR: Please use EndPeriod &gt;= 1.</v>
      </c>
      <c r="H130" s="2">
        <f t="shared" si="10"/>
        <v>-1</v>
      </c>
      <c r="I130" s="24">
        <f t="shared" si="11"/>
        <v>14</v>
      </c>
      <c r="J130" s="24">
        <f t="shared" si="12"/>
        <v>0</v>
      </c>
      <c r="K130" s="17">
        <f t="shared" si="13"/>
        <v>15</v>
      </c>
      <c r="M130" s="15">
        <f t="shared" ca="1" si="14"/>
        <v>37652</v>
      </c>
      <c r="N130" s="15">
        <f t="shared" ca="1" si="15"/>
        <v>0</v>
      </c>
      <c r="Z130" s="1"/>
    </row>
    <row r="131" spans="3:26" x14ac:dyDescent="0.2">
      <c r="C131" s="39"/>
      <c r="D131" s="39"/>
      <c r="E131" s="38">
        <f>[2]!expavg($T$9:$T$26,$R$9:$R$26,K131,H131)</f>
        <v>0.59629515190861937</v>
      </c>
      <c r="F131" s="38" t="str">
        <f>[2]!expavg2($T$9:$T$26,I131,J131,$R$9:$R$26)</f>
        <v>ERROR: Please use EndPeriod &gt;= 1.</v>
      </c>
      <c r="H131" s="2">
        <f t="shared" si="10"/>
        <v>-2</v>
      </c>
      <c r="I131" s="24">
        <f t="shared" si="11"/>
        <v>14</v>
      </c>
      <c r="J131" s="24">
        <f t="shared" si="12"/>
        <v>-1</v>
      </c>
      <c r="K131" s="17">
        <f t="shared" si="13"/>
        <v>16</v>
      </c>
      <c r="M131" s="15">
        <f t="shared" ca="1" si="14"/>
        <v>37652</v>
      </c>
      <c r="N131" s="15">
        <f t="shared" ca="1" si="15"/>
        <v>0</v>
      </c>
      <c r="Z131" s="1"/>
    </row>
    <row r="132" spans="3:26" x14ac:dyDescent="0.2">
      <c r="C132" s="39"/>
      <c r="D132" s="39"/>
      <c r="E132" s="38">
        <f>[2]!expavg($T$9:$T$26,$R$9:$R$26,K132,H132)</f>
        <v>0.70939186407915755</v>
      </c>
      <c r="F132" s="38" t="str">
        <f>[2]!expavg2($T$9:$T$26,I132,J132,$R$9:$R$26)</f>
        <v>ERROR: Please use EndPeriod &lt; BegPeriod.</v>
      </c>
      <c r="H132" s="2">
        <f t="shared" si="10"/>
        <v>14</v>
      </c>
      <c r="I132" s="24">
        <f t="shared" si="11"/>
        <v>13</v>
      </c>
      <c r="J132" s="24">
        <f t="shared" si="12"/>
        <v>15</v>
      </c>
      <c r="K132" s="17">
        <f t="shared" si="13"/>
        <v>-1</v>
      </c>
      <c r="M132" s="15">
        <f t="shared" ca="1" si="14"/>
        <v>38017</v>
      </c>
      <c r="N132" s="15">
        <f t="shared" ca="1" si="15"/>
        <v>37287</v>
      </c>
      <c r="Z132" s="1"/>
    </row>
    <row r="133" spans="3:26" x14ac:dyDescent="0.2">
      <c r="C133" s="39"/>
      <c r="D133" s="39"/>
      <c r="E133" s="38">
        <f>[2]!expavg($T$9:$T$26,$R$9:$R$26,K133,H133)</f>
        <v>0.67177139323204882</v>
      </c>
      <c r="F133" s="38" t="str">
        <f>[2]!expavg2($T$9:$T$26,I133,J133,$R$9:$R$26)</f>
        <v>ERROR: Please use EndPeriod &lt; BegPeriod.</v>
      </c>
      <c r="H133" s="2">
        <f t="shared" si="10"/>
        <v>13</v>
      </c>
      <c r="I133" s="24">
        <f t="shared" si="11"/>
        <v>13</v>
      </c>
      <c r="J133" s="24">
        <f t="shared" si="12"/>
        <v>14</v>
      </c>
      <c r="K133" s="17">
        <f t="shared" si="13"/>
        <v>0</v>
      </c>
      <c r="M133" s="15">
        <f t="shared" ca="1" si="14"/>
        <v>38017</v>
      </c>
      <c r="N133" s="15">
        <f t="shared" ca="1" si="15"/>
        <v>37652</v>
      </c>
      <c r="Z133" s="1"/>
    </row>
    <row r="134" spans="3:26" x14ac:dyDescent="0.2">
      <c r="C134" s="39"/>
      <c r="D134" s="39"/>
      <c r="E134" s="38">
        <f>[2]!expavg($T$9:$T$26,$R$9:$R$26,K134,H134)</f>
        <v>0.66047890937354836</v>
      </c>
      <c r="F134" s="38">
        <f>[2]!expavg2($T$9:$T$26,I134,J134,$R$9:$R$26)</f>
        <v>0.66047890937354836</v>
      </c>
      <c r="H134" s="2">
        <f t="shared" si="10"/>
        <v>12</v>
      </c>
      <c r="I134" s="24">
        <f t="shared" si="11"/>
        <v>13</v>
      </c>
      <c r="J134" s="24">
        <f t="shared" si="12"/>
        <v>13</v>
      </c>
      <c r="K134" s="17">
        <f t="shared" si="13"/>
        <v>1</v>
      </c>
      <c r="M134" s="15">
        <f t="shared" ca="1" si="14"/>
        <v>38017</v>
      </c>
      <c r="N134" s="15">
        <f t="shared" ca="1" si="15"/>
        <v>38017</v>
      </c>
      <c r="Z134" s="1"/>
    </row>
    <row r="135" spans="3:26" x14ac:dyDescent="0.2">
      <c r="C135" s="39"/>
      <c r="D135" s="39"/>
      <c r="E135" s="38">
        <f>[2]!expavg($T$9:$T$26,$R$9:$R$26,K135,H135)</f>
        <v>0.69161344787603074</v>
      </c>
      <c r="F135" s="38">
        <f>[2]!expavg2($T$9:$T$26,I135,J135,$R$9:$R$26)</f>
        <v>0.69161344787603074</v>
      </c>
      <c r="H135" s="2">
        <f t="shared" si="10"/>
        <v>11</v>
      </c>
      <c r="I135" s="24">
        <f t="shared" si="11"/>
        <v>13</v>
      </c>
      <c r="J135" s="24">
        <f t="shared" si="12"/>
        <v>12</v>
      </c>
      <c r="K135" s="17">
        <f t="shared" si="13"/>
        <v>2</v>
      </c>
      <c r="M135" s="15">
        <f t="shared" ca="1" si="14"/>
        <v>38017</v>
      </c>
      <c r="N135" s="15">
        <f t="shared" ca="1" si="15"/>
        <v>38383</v>
      </c>
      <c r="Z135" s="1"/>
    </row>
    <row r="136" spans="3:26" x14ac:dyDescent="0.2">
      <c r="C136" s="39"/>
      <c r="D136" s="39"/>
      <c r="E136" s="38">
        <f>[2]!expavg($T$9:$T$26,$R$9:$R$26,K136,H136)</f>
        <v>0.70911076602839607</v>
      </c>
      <c r="F136" s="38">
        <f>[2]!expavg2($T$9:$T$26,I136,J136,$R$9:$R$26)</f>
        <v>0.70911076602839607</v>
      </c>
      <c r="H136" s="2">
        <f t="shared" si="10"/>
        <v>10</v>
      </c>
      <c r="I136" s="24">
        <f t="shared" si="11"/>
        <v>13</v>
      </c>
      <c r="J136" s="24">
        <f t="shared" si="12"/>
        <v>11</v>
      </c>
      <c r="K136" s="17">
        <f t="shared" si="13"/>
        <v>3</v>
      </c>
      <c r="M136" s="15">
        <f t="shared" ca="1" si="14"/>
        <v>38017</v>
      </c>
      <c r="N136" s="15">
        <f t="shared" ca="1" si="15"/>
        <v>38748</v>
      </c>
      <c r="Z136" s="1"/>
    </row>
    <row r="137" spans="3:26" x14ac:dyDescent="0.2">
      <c r="C137" s="39"/>
      <c r="D137" s="39"/>
      <c r="E137" s="38">
        <f>[2]!expavg($T$9:$T$26,$R$9:$R$26,K137,H137)</f>
        <v>0.67147533274946847</v>
      </c>
      <c r="F137" s="38">
        <f>[2]!expavg2($T$9:$T$26,I137,J137,$R$9:$R$26)</f>
        <v>0.67147533274946847</v>
      </c>
      <c r="H137" s="2">
        <f t="shared" si="10"/>
        <v>9</v>
      </c>
      <c r="I137" s="24">
        <f t="shared" si="11"/>
        <v>13</v>
      </c>
      <c r="J137" s="24">
        <f t="shared" si="12"/>
        <v>10</v>
      </c>
      <c r="K137" s="17">
        <f t="shared" si="13"/>
        <v>4</v>
      </c>
      <c r="M137" s="15">
        <f t="shared" ca="1" si="14"/>
        <v>38017</v>
      </c>
      <c r="N137" s="15">
        <f t="shared" ca="1" si="15"/>
        <v>39113</v>
      </c>
      <c r="Z137" s="1"/>
    </row>
    <row r="138" spans="3:26" x14ac:dyDescent="0.2">
      <c r="C138" s="39"/>
      <c r="D138" s="39"/>
      <c r="E138" s="38">
        <f>[2]!expavg($T$9:$T$26,$R$9:$R$26,K138,H138)</f>
        <v>0.6609614989912006</v>
      </c>
      <c r="F138" s="38">
        <f>[2]!expavg2($T$9:$T$26,I138,J138,$R$9:$R$26)</f>
        <v>0.6609614989912006</v>
      </c>
      <c r="H138" s="2">
        <f t="shared" si="10"/>
        <v>8</v>
      </c>
      <c r="I138" s="24">
        <f t="shared" si="11"/>
        <v>13</v>
      </c>
      <c r="J138" s="24">
        <f t="shared" si="12"/>
        <v>9</v>
      </c>
      <c r="K138" s="17">
        <f t="shared" si="13"/>
        <v>5</v>
      </c>
      <c r="M138" s="15">
        <f t="shared" ca="1" si="14"/>
        <v>38017</v>
      </c>
      <c r="N138" s="15">
        <f t="shared" ca="1" si="15"/>
        <v>39478</v>
      </c>
      <c r="Z138" s="1"/>
    </row>
    <row r="139" spans="3:26" x14ac:dyDescent="0.2">
      <c r="C139" s="39"/>
      <c r="D139" s="39"/>
      <c r="E139" s="38">
        <f>[2]!expavg($T$9:$T$26,$R$9:$R$26,K139,H139)</f>
        <v>0.69152817471611971</v>
      </c>
      <c r="F139" s="38">
        <f>[2]!expavg2($T$9:$T$26,I139,J139,$R$9:$R$26)</f>
        <v>0.69152817471611971</v>
      </c>
      <c r="H139" s="2">
        <f t="shared" si="10"/>
        <v>7</v>
      </c>
      <c r="I139" s="24">
        <f t="shared" si="11"/>
        <v>13</v>
      </c>
      <c r="J139" s="24">
        <f t="shared" si="12"/>
        <v>8</v>
      </c>
      <c r="K139" s="17">
        <f t="shared" si="13"/>
        <v>6</v>
      </c>
      <c r="M139" s="15">
        <f t="shared" ca="1" si="14"/>
        <v>38017</v>
      </c>
      <c r="N139" s="15">
        <f t="shared" ca="1" si="15"/>
        <v>39844</v>
      </c>
      <c r="Z139" s="1"/>
    </row>
    <row r="140" spans="3:26" x14ac:dyDescent="0.2">
      <c r="C140" s="39"/>
      <c r="D140" s="39"/>
      <c r="E140" s="38">
        <f>[2]!expavg($T$9:$T$26,$R$9:$R$26,K140,H140)</f>
        <v>0.67837974428068737</v>
      </c>
      <c r="F140" s="38">
        <f>[2]!expavg2($T$9:$T$26,I140,J140,$R$9:$R$26)</f>
        <v>0.67837974428068737</v>
      </c>
      <c r="H140" s="2">
        <f t="shared" si="10"/>
        <v>6</v>
      </c>
      <c r="I140" s="24">
        <f t="shared" si="11"/>
        <v>13</v>
      </c>
      <c r="J140" s="24">
        <f t="shared" si="12"/>
        <v>7</v>
      </c>
      <c r="K140" s="17">
        <f t="shared" si="13"/>
        <v>7</v>
      </c>
      <c r="M140" s="15">
        <f t="shared" ca="1" si="14"/>
        <v>38017</v>
      </c>
      <c r="N140" s="15">
        <f t="shared" ca="1" si="15"/>
        <v>40209</v>
      </c>
      <c r="Z140" s="1"/>
    </row>
    <row r="141" spans="3:26" x14ac:dyDescent="0.2">
      <c r="C141" s="39"/>
      <c r="D141" s="39"/>
      <c r="E141" s="38">
        <f>[2]!expavg($T$9:$T$26,$R$9:$R$26,K141,H141)</f>
        <v>0.65535853350178563</v>
      </c>
      <c r="F141" s="38">
        <f>[2]!expavg2($T$9:$T$26,I141,J141,$R$9:$R$26)</f>
        <v>0.65535853350178563</v>
      </c>
      <c r="H141" s="2">
        <f t="shared" si="10"/>
        <v>5</v>
      </c>
      <c r="I141" s="24">
        <f t="shared" si="11"/>
        <v>13</v>
      </c>
      <c r="J141" s="24">
        <f t="shared" si="12"/>
        <v>6</v>
      </c>
      <c r="K141" s="17">
        <f t="shared" si="13"/>
        <v>8</v>
      </c>
      <c r="M141" s="15">
        <f t="shared" ca="1" si="14"/>
        <v>38017</v>
      </c>
      <c r="N141" s="15">
        <f t="shared" ca="1" si="15"/>
        <v>40574</v>
      </c>
      <c r="Z141" s="1"/>
    </row>
    <row r="142" spans="3:26" x14ac:dyDescent="0.2">
      <c r="C142" s="39"/>
      <c r="D142" s="39"/>
      <c r="E142" s="38">
        <f>[2]!expavg($T$9:$T$26,$R$9:$R$26,K142,H142)</f>
        <v>0.62978599958453574</v>
      </c>
      <c r="F142" s="38">
        <f>[2]!expavg2($T$9:$T$26,I142,J142,$R$9:$R$26)</f>
        <v>0.62978599958453574</v>
      </c>
      <c r="H142" s="2">
        <f t="shared" si="10"/>
        <v>4</v>
      </c>
      <c r="I142" s="24">
        <f t="shared" si="11"/>
        <v>13</v>
      </c>
      <c r="J142" s="24">
        <f t="shared" si="12"/>
        <v>5</v>
      </c>
      <c r="K142" s="17">
        <f t="shared" si="13"/>
        <v>9</v>
      </c>
      <c r="M142" s="15">
        <f t="shared" ca="1" si="14"/>
        <v>38017</v>
      </c>
      <c r="N142" s="15">
        <f t="shared" ca="1" si="15"/>
        <v>40939</v>
      </c>
      <c r="Z142" s="1"/>
    </row>
    <row r="143" spans="3:26" x14ac:dyDescent="0.2">
      <c r="C143" s="39"/>
      <c r="D143" s="39"/>
      <c r="E143" s="38">
        <f>[2]!expavg($T$9:$T$26,$R$9:$R$26,K143,H143)</f>
        <v>0.61487235224960979</v>
      </c>
      <c r="F143" s="38">
        <f>[2]!expavg2($T$9:$T$26,I143,J143,$R$9:$R$26)</f>
        <v>0.61487235224960979</v>
      </c>
      <c r="H143" s="2">
        <f t="shared" si="10"/>
        <v>3</v>
      </c>
      <c r="I143" s="24">
        <f t="shared" si="11"/>
        <v>13</v>
      </c>
      <c r="J143" s="24">
        <f t="shared" si="12"/>
        <v>4</v>
      </c>
      <c r="K143" s="17">
        <f t="shared" si="13"/>
        <v>10</v>
      </c>
      <c r="M143" s="15">
        <f t="shared" ca="1" si="14"/>
        <v>38017</v>
      </c>
      <c r="N143" s="15">
        <f t="shared" ca="1" si="15"/>
        <v>41305</v>
      </c>
      <c r="Z143" s="1"/>
    </row>
    <row r="144" spans="3:26" x14ac:dyDescent="0.2">
      <c r="C144" s="39"/>
      <c r="D144" s="39"/>
      <c r="E144" s="38">
        <f>[2]!expavg($T$9:$T$26,$R$9:$R$26,K144,H144)</f>
        <v>0.60631182029556241</v>
      </c>
      <c r="F144" s="38">
        <f>[2]!expavg2($T$9:$T$26,I144,J144,$R$9:$R$26)</f>
        <v>0.60631182029556241</v>
      </c>
      <c r="H144" s="2">
        <f t="shared" si="10"/>
        <v>2</v>
      </c>
      <c r="I144" s="24">
        <f t="shared" si="11"/>
        <v>13</v>
      </c>
      <c r="J144" s="24">
        <f t="shared" si="12"/>
        <v>3</v>
      </c>
      <c r="K144" s="17">
        <f t="shared" si="13"/>
        <v>11</v>
      </c>
      <c r="M144" s="15">
        <f t="shared" ca="1" si="14"/>
        <v>38017</v>
      </c>
      <c r="N144" s="15">
        <f t="shared" ca="1" si="15"/>
        <v>41670</v>
      </c>
      <c r="Z144" s="1"/>
    </row>
    <row r="145" spans="3:26" x14ac:dyDescent="0.2">
      <c r="C145" s="39"/>
      <c r="D145" s="39"/>
      <c r="E145" s="38">
        <f>[2]!expavg($T$9:$T$26,$R$9:$R$26,K145,H145)</f>
        <v>0.59147471757688508</v>
      </c>
      <c r="F145" s="38">
        <f>[2]!expavg2($T$9:$T$26,I145,J145,$R$9:$R$26)</f>
        <v>0.59147471757688508</v>
      </c>
      <c r="H145" s="2">
        <f t="shared" si="10"/>
        <v>1</v>
      </c>
      <c r="I145" s="24">
        <f t="shared" si="11"/>
        <v>13</v>
      </c>
      <c r="J145" s="24">
        <f t="shared" si="12"/>
        <v>2</v>
      </c>
      <c r="K145" s="17">
        <f t="shared" si="13"/>
        <v>12</v>
      </c>
      <c r="M145" s="15">
        <f t="shared" ca="1" si="14"/>
        <v>38017</v>
      </c>
      <c r="N145" s="15">
        <f t="shared" ca="1" si="15"/>
        <v>42035</v>
      </c>
      <c r="Z145" s="1"/>
    </row>
    <row r="146" spans="3:26" x14ac:dyDescent="0.2">
      <c r="C146" s="39"/>
      <c r="D146" s="39"/>
      <c r="E146" s="38">
        <f>[2]!expavg($T$9:$T$26,$R$9:$R$26,K146,H146)</f>
        <v>0.58904781063234513</v>
      </c>
      <c r="F146" s="38">
        <f>[2]!expavg2($T$9:$T$26,I146,J146,$R$9:$R$26)</f>
        <v>0.58904781063234513</v>
      </c>
      <c r="H146" s="2">
        <f t="shared" si="10"/>
        <v>0</v>
      </c>
      <c r="I146" s="24">
        <f t="shared" si="11"/>
        <v>13</v>
      </c>
      <c r="J146" s="24">
        <f t="shared" si="12"/>
        <v>1</v>
      </c>
      <c r="K146" s="17">
        <f t="shared" si="13"/>
        <v>13</v>
      </c>
      <c r="M146" s="15">
        <f t="shared" ca="1" si="14"/>
        <v>38017</v>
      </c>
      <c r="N146" s="15">
        <f t="shared" ca="1" si="15"/>
        <v>42400</v>
      </c>
      <c r="Z146" s="1"/>
    </row>
    <row r="147" spans="3:26" x14ac:dyDescent="0.2">
      <c r="C147" s="39"/>
      <c r="D147" s="39"/>
      <c r="E147" s="38">
        <f>[2]!expavg($T$9:$T$26,$R$9:$R$26,K147,H147)</f>
        <v>0.58606252655792312</v>
      </c>
      <c r="F147" s="38" t="str">
        <f>[2]!expavg2($T$9:$T$26,I147,J147,$R$9:$R$26)</f>
        <v>ERROR: Please use EndPeriod &gt;= 1.</v>
      </c>
      <c r="H147" s="2">
        <f t="shared" si="10"/>
        <v>-1</v>
      </c>
      <c r="I147" s="24">
        <f t="shared" si="11"/>
        <v>13</v>
      </c>
      <c r="J147" s="24">
        <f t="shared" si="12"/>
        <v>0</v>
      </c>
      <c r="K147" s="17">
        <f t="shared" si="13"/>
        <v>14</v>
      </c>
      <c r="M147" s="15">
        <f t="shared" ca="1" si="14"/>
        <v>38017</v>
      </c>
      <c r="N147" s="15">
        <f t="shared" ca="1" si="15"/>
        <v>0</v>
      </c>
      <c r="Z147" s="1"/>
    </row>
    <row r="148" spans="3:26" x14ac:dyDescent="0.2">
      <c r="C148" s="39"/>
      <c r="D148" s="39"/>
      <c r="E148" s="38">
        <f>[2]!expavg($T$9:$T$26,$R$9:$R$26,K148,H148)</f>
        <v>0.588093751493456</v>
      </c>
      <c r="F148" s="38" t="str">
        <f>[2]!expavg2($T$9:$T$26,I148,J148,$R$9:$R$26)</f>
        <v>ERROR: Please use EndPeriod &gt;= 1.</v>
      </c>
      <c r="H148" s="2">
        <f t="shared" si="10"/>
        <v>-2</v>
      </c>
      <c r="I148" s="24">
        <f t="shared" si="11"/>
        <v>13</v>
      </c>
      <c r="J148" s="24">
        <f t="shared" si="12"/>
        <v>-1</v>
      </c>
      <c r="K148" s="17">
        <f t="shared" si="13"/>
        <v>15</v>
      </c>
      <c r="M148" s="15">
        <f t="shared" ca="1" si="14"/>
        <v>38017</v>
      </c>
      <c r="N148" s="15">
        <f t="shared" ca="1" si="15"/>
        <v>0</v>
      </c>
      <c r="Z148" s="1"/>
    </row>
    <row r="149" spans="3:26" x14ac:dyDescent="0.2">
      <c r="C149" s="39"/>
      <c r="D149" s="39"/>
      <c r="E149" s="38">
        <f>[2]!expavg($T$9:$T$26,$R$9:$R$26,K149,H149)</f>
        <v>0.70939186407915755</v>
      </c>
      <c r="F149" s="38" t="str">
        <f>[2]!expavg2($T$9:$T$26,I149,J149,$R$9:$R$26)</f>
        <v>ERROR: Please use EndPeriod &lt; BegPeriod.</v>
      </c>
      <c r="H149" s="2">
        <f t="shared" si="10"/>
        <v>14</v>
      </c>
      <c r="I149" s="24">
        <f t="shared" si="11"/>
        <v>12</v>
      </c>
      <c r="J149" s="24">
        <f t="shared" si="12"/>
        <v>15</v>
      </c>
      <c r="K149" s="17">
        <f t="shared" si="13"/>
        <v>-2</v>
      </c>
      <c r="M149" s="15">
        <f t="shared" ca="1" si="14"/>
        <v>38383</v>
      </c>
      <c r="N149" s="15">
        <f t="shared" ca="1" si="15"/>
        <v>37287</v>
      </c>
      <c r="Z149" s="1"/>
    </row>
    <row r="150" spans="3:26" x14ac:dyDescent="0.2">
      <c r="C150" s="39"/>
      <c r="D150" s="39"/>
      <c r="E150" s="38">
        <f>[2]!expavg($T$9:$T$26,$R$9:$R$26,K150,H150)</f>
        <v>0.67177139323204882</v>
      </c>
      <c r="F150" s="38" t="str">
        <f>[2]!expavg2($T$9:$T$26,I150,J150,$R$9:$R$26)</f>
        <v>ERROR: Please use EndPeriod &lt; BegPeriod.</v>
      </c>
      <c r="H150" s="2">
        <f t="shared" si="10"/>
        <v>13</v>
      </c>
      <c r="I150" s="24">
        <f t="shared" si="11"/>
        <v>12</v>
      </c>
      <c r="J150" s="24">
        <f t="shared" si="12"/>
        <v>14</v>
      </c>
      <c r="K150" s="17">
        <f t="shared" si="13"/>
        <v>-1</v>
      </c>
      <c r="M150" s="15">
        <f t="shared" ca="1" si="14"/>
        <v>38383</v>
      </c>
      <c r="N150" s="15">
        <f t="shared" ca="1" si="15"/>
        <v>37652</v>
      </c>
      <c r="Z150" s="1"/>
    </row>
    <row r="151" spans="3:26" x14ac:dyDescent="0.2">
      <c r="C151" s="39"/>
      <c r="D151" s="39"/>
      <c r="E151" s="38">
        <f>[2]!expavg($T$9:$T$26,$R$9:$R$26,K151,H151)</f>
        <v>0.66945167850810816</v>
      </c>
      <c r="F151" s="38" t="str">
        <f>[2]!expavg2($T$9:$T$26,I151,J151,$R$9:$R$26)</f>
        <v>ERROR: Please use EndPeriod &lt; BegPeriod.</v>
      </c>
      <c r="H151" s="2">
        <f t="shared" si="10"/>
        <v>12</v>
      </c>
      <c r="I151" s="24">
        <f t="shared" si="11"/>
        <v>12</v>
      </c>
      <c r="J151" s="24">
        <f t="shared" si="12"/>
        <v>13</v>
      </c>
      <c r="K151" s="17">
        <f t="shared" si="13"/>
        <v>0</v>
      </c>
      <c r="M151" s="15">
        <f t="shared" ca="1" si="14"/>
        <v>38383</v>
      </c>
      <c r="N151" s="15">
        <f t="shared" ca="1" si="15"/>
        <v>38017</v>
      </c>
      <c r="Z151" s="1"/>
    </row>
    <row r="152" spans="3:26" x14ac:dyDescent="0.2">
      <c r="C152" s="39"/>
      <c r="D152" s="39"/>
      <c r="E152" s="38">
        <f>[2]!expavg($T$9:$T$26,$R$9:$R$26,K152,H152)</f>
        <v>0.71676302191958974</v>
      </c>
      <c r="F152" s="38">
        <f>[2]!expavg2($T$9:$T$26,I152,J152,$R$9:$R$26)</f>
        <v>0.71676302191958974</v>
      </c>
      <c r="H152" s="2">
        <f t="shared" si="10"/>
        <v>11</v>
      </c>
      <c r="I152" s="24">
        <f t="shared" si="11"/>
        <v>12</v>
      </c>
      <c r="J152" s="24">
        <f t="shared" si="12"/>
        <v>12</v>
      </c>
      <c r="K152" s="17">
        <f t="shared" si="13"/>
        <v>1</v>
      </c>
      <c r="M152" s="15">
        <f t="shared" ca="1" si="14"/>
        <v>38383</v>
      </c>
      <c r="N152" s="15">
        <f t="shared" ca="1" si="15"/>
        <v>38383</v>
      </c>
      <c r="Z152" s="1"/>
    </row>
    <row r="153" spans="3:26" x14ac:dyDescent="0.2">
      <c r="C153" s="39"/>
      <c r="D153" s="39"/>
      <c r="E153" s="38">
        <f>[2]!expavg($T$9:$T$26,$R$9:$R$26,K153,H153)</f>
        <v>0.72837662562635619</v>
      </c>
      <c r="F153" s="38">
        <f>[2]!expavg2($T$9:$T$26,I153,J153,$R$9:$R$26)</f>
        <v>0.72837662562635619</v>
      </c>
      <c r="H153" s="2">
        <f t="shared" si="10"/>
        <v>10</v>
      </c>
      <c r="I153" s="24">
        <f t="shared" si="11"/>
        <v>12</v>
      </c>
      <c r="J153" s="24">
        <f t="shared" si="12"/>
        <v>11</v>
      </c>
      <c r="K153" s="17">
        <f t="shared" si="13"/>
        <v>2</v>
      </c>
      <c r="M153" s="15">
        <f t="shared" ca="1" si="14"/>
        <v>38383</v>
      </c>
      <c r="N153" s="15">
        <f t="shared" ca="1" si="15"/>
        <v>38748</v>
      </c>
      <c r="Z153" s="1"/>
    </row>
    <row r="154" spans="3:26" x14ac:dyDescent="0.2">
      <c r="C154" s="39"/>
      <c r="D154" s="39"/>
      <c r="E154" s="38">
        <f>[2]!expavg($T$9:$T$26,$R$9:$R$26,K154,H154)</f>
        <v>0.67444666717196144</v>
      </c>
      <c r="F154" s="38">
        <f>[2]!expavg2($T$9:$T$26,I154,J154,$R$9:$R$26)</f>
        <v>0.67444666717196144</v>
      </c>
      <c r="H154" s="2">
        <f t="shared" si="10"/>
        <v>9</v>
      </c>
      <c r="I154" s="24">
        <f t="shared" si="11"/>
        <v>12</v>
      </c>
      <c r="J154" s="24">
        <f t="shared" si="12"/>
        <v>10</v>
      </c>
      <c r="K154" s="17">
        <f t="shared" si="13"/>
        <v>3</v>
      </c>
      <c r="M154" s="15">
        <f t="shared" ca="1" si="14"/>
        <v>38383</v>
      </c>
      <c r="N154" s="15">
        <f t="shared" ca="1" si="15"/>
        <v>39113</v>
      </c>
      <c r="Z154" s="1"/>
    </row>
    <row r="155" spans="3:26" x14ac:dyDescent="0.2">
      <c r="C155" s="39"/>
      <c r="D155" s="39"/>
      <c r="E155" s="38">
        <f>[2]!expavg($T$9:$T$26,$R$9:$R$26,K155,H155)</f>
        <v>0.66106134772767566</v>
      </c>
      <c r="F155" s="38">
        <f>[2]!expavg2($T$9:$T$26,I155,J155,$R$9:$R$26)</f>
        <v>0.66106134772767566</v>
      </c>
      <c r="H155" s="2">
        <f t="shared" si="10"/>
        <v>8</v>
      </c>
      <c r="I155" s="24">
        <f t="shared" si="11"/>
        <v>12</v>
      </c>
      <c r="J155" s="24">
        <f t="shared" si="12"/>
        <v>9</v>
      </c>
      <c r="K155" s="17">
        <f t="shared" si="13"/>
        <v>4</v>
      </c>
      <c r="M155" s="15">
        <f t="shared" ca="1" si="14"/>
        <v>38383</v>
      </c>
      <c r="N155" s="15">
        <f t="shared" ca="1" si="15"/>
        <v>39478</v>
      </c>
      <c r="Z155" s="1"/>
    </row>
    <row r="156" spans="3:26" x14ac:dyDescent="0.2">
      <c r="C156" s="39"/>
      <c r="D156" s="39"/>
      <c r="E156" s="38">
        <f>[2]!expavg($T$9:$T$26,$R$9:$R$26,K156,H156)</f>
        <v>0.69668530461898681</v>
      </c>
      <c r="F156" s="38">
        <f>[2]!expavg2($T$9:$T$26,I156,J156,$R$9:$R$26)</f>
        <v>0.69668530461898681</v>
      </c>
      <c r="H156" s="2">
        <f t="shared" si="10"/>
        <v>7</v>
      </c>
      <c r="I156" s="24">
        <f t="shared" si="11"/>
        <v>12</v>
      </c>
      <c r="J156" s="24">
        <f t="shared" si="12"/>
        <v>8</v>
      </c>
      <c r="K156" s="17">
        <f t="shared" si="13"/>
        <v>5</v>
      </c>
      <c r="M156" s="15">
        <f t="shared" ca="1" si="14"/>
        <v>38383</v>
      </c>
      <c r="N156" s="15">
        <f t="shared" ca="1" si="15"/>
        <v>39844</v>
      </c>
      <c r="Z156" s="1"/>
    </row>
    <row r="157" spans="3:26" x14ac:dyDescent="0.2">
      <c r="C157" s="39"/>
      <c r="D157" s="39"/>
      <c r="E157" s="38">
        <f>[2]!expavg($T$9:$T$26,$R$9:$R$26,K157,H157)</f>
        <v>0.68084179550146495</v>
      </c>
      <c r="F157" s="38">
        <f>[2]!expavg2($T$9:$T$26,I157,J157,$R$9:$R$26)</f>
        <v>0.68084179550146495</v>
      </c>
      <c r="H157" s="2">
        <f t="shared" si="10"/>
        <v>6</v>
      </c>
      <c r="I157" s="24">
        <f t="shared" si="11"/>
        <v>12</v>
      </c>
      <c r="J157" s="24">
        <f t="shared" si="12"/>
        <v>7</v>
      </c>
      <c r="K157" s="17">
        <f t="shared" si="13"/>
        <v>6</v>
      </c>
      <c r="M157" s="15">
        <f t="shared" ca="1" si="14"/>
        <v>38383</v>
      </c>
      <c r="N157" s="15">
        <f t="shared" ca="1" si="15"/>
        <v>40209</v>
      </c>
      <c r="Z157" s="1"/>
    </row>
    <row r="158" spans="3:26" x14ac:dyDescent="0.2">
      <c r="C158" s="39"/>
      <c r="D158" s="39"/>
      <c r="E158" s="38">
        <f>[2]!expavg($T$9:$T$26,$R$9:$R$26,K158,H158)</f>
        <v>0.65476380228937858</v>
      </c>
      <c r="F158" s="38">
        <f>[2]!expavg2($T$9:$T$26,I158,J158,$R$9:$R$26)</f>
        <v>0.65476380228937858</v>
      </c>
      <c r="H158" s="2">
        <f t="shared" si="10"/>
        <v>5</v>
      </c>
      <c r="I158" s="24">
        <f t="shared" si="11"/>
        <v>12</v>
      </c>
      <c r="J158" s="24">
        <f t="shared" si="12"/>
        <v>6</v>
      </c>
      <c r="K158" s="17">
        <f t="shared" si="13"/>
        <v>7</v>
      </c>
      <c r="M158" s="15">
        <f t="shared" ca="1" si="14"/>
        <v>38383</v>
      </c>
      <c r="N158" s="15">
        <f t="shared" ca="1" si="15"/>
        <v>40574</v>
      </c>
      <c r="Z158" s="1"/>
    </row>
    <row r="159" spans="3:26" x14ac:dyDescent="0.2">
      <c r="C159" s="39"/>
      <c r="D159" s="39"/>
      <c r="E159" s="38">
        <f>[2]!expavg($T$9:$T$26,$R$9:$R$26,K159,H159)</f>
        <v>0.62681047153181968</v>
      </c>
      <c r="F159" s="38">
        <f>[2]!expavg2($T$9:$T$26,I159,J159,$R$9:$R$26)</f>
        <v>0.62681047153181968</v>
      </c>
      <c r="H159" s="2">
        <f t="shared" si="10"/>
        <v>4</v>
      </c>
      <c r="I159" s="24">
        <f t="shared" si="11"/>
        <v>12</v>
      </c>
      <c r="J159" s="24">
        <f t="shared" si="12"/>
        <v>5</v>
      </c>
      <c r="K159" s="17">
        <f t="shared" si="13"/>
        <v>8</v>
      </c>
      <c r="M159" s="15">
        <f t="shared" ca="1" si="14"/>
        <v>38383</v>
      </c>
      <c r="N159" s="15">
        <f t="shared" ca="1" si="15"/>
        <v>40939</v>
      </c>
      <c r="Z159" s="1"/>
    </row>
    <row r="160" spans="3:26" x14ac:dyDescent="0.2">
      <c r="C160" s="39"/>
      <c r="D160" s="39"/>
      <c r="E160" s="38">
        <f>[2]!expavg($T$9:$T$26,$R$9:$R$26,K160,H160)</f>
        <v>0.61097492348255977</v>
      </c>
      <c r="F160" s="38">
        <f>[2]!expavg2($T$9:$T$26,I160,J160,$R$9:$R$26)</f>
        <v>0.61097492348255977</v>
      </c>
      <c r="H160" s="2">
        <f t="shared" si="10"/>
        <v>3</v>
      </c>
      <c r="I160" s="24">
        <f t="shared" si="11"/>
        <v>12</v>
      </c>
      <c r="J160" s="24">
        <f t="shared" si="12"/>
        <v>4</v>
      </c>
      <c r="K160" s="17">
        <f t="shared" si="13"/>
        <v>9</v>
      </c>
      <c r="M160" s="15">
        <f t="shared" ca="1" si="14"/>
        <v>38383</v>
      </c>
      <c r="N160" s="15">
        <f t="shared" ca="1" si="15"/>
        <v>41305</v>
      </c>
      <c r="Z160" s="1"/>
    </row>
    <row r="161" spans="3:26" x14ac:dyDescent="0.2">
      <c r="C161" s="39"/>
      <c r="D161" s="39"/>
      <c r="E161" s="38">
        <f>[2]!expavg($T$9:$T$26,$R$9:$R$26,K161,H161)</f>
        <v>0.60217498170624084</v>
      </c>
      <c r="F161" s="38">
        <f>[2]!expavg2($T$9:$T$26,I161,J161,$R$9:$R$26)</f>
        <v>0.60217498170624084</v>
      </c>
      <c r="H161" s="2">
        <f t="shared" si="10"/>
        <v>2</v>
      </c>
      <c r="I161" s="24">
        <f t="shared" si="11"/>
        <v>12</v>
      </c>
      <c r="J161" s="24">
        <f t="shared" si="12"/>
        <v>3</v>
      </c>
      <c r="K161" s="17">
        <f t="shared" si="13"/>
        <v>10</v>
      </c>
      <c r="M161" s="15">
        <f t="shared" ca="1" si="14"/>
        <v>38383</v>
      </c>
      <c r="N161" s="15">
        <f t="shared" ca="1" si="15"/>
        <v>41670</v>
      </c>
      <c r="Z161" s="1"/>
    </row>
    <row r="162" spans="3:26" x14ac:dyDescent="0.2">
      <c r="C162" s="39"/>
      <c r="D162" s="39"/>
      <c r="E162" s="38">
        <f>[2]!expavg($T$9:$T$26,$R$9:$R$26,K162,H162)</f>
        <v>0.58671061655981693</v>
      </c>
      <c r="F162" s="38">
        <f>[2]!expavg2($T$9:$T$26,I162,J162,$R$9:$R$26)</f>
        <v>0.58671061655981693</v>
      </c>
      <c r="H162" s="2">
        <f t="shared" si="10"/>
        <v>1</v>
      </c>
      <c r="I162" s="24">
        <f t="shared" si="11"/>
        <v>12</v>
      </c>
      <c r="J162" s="24">
        <f t="shared" si="12"/>
        <v>2</v>
      </c>
      <c r="K162" s="17">
        <f t="shared" si="13"/>
        <v>11</v>
      </c>
      <c r="M162" s="15">
        <f t="shared" ca="1" si="14"/>
        <v>38383</v>
      </c>
      <c r="N162" s="15">
        <f t="shared" ca="1" si="15"/>
        <v>42035</v>
      </c>
      <c r="Z162" s="1"/>
    </row>
    <row r="163" spans="3:26" x14ac:dyDescent="0.2">
      <c r="C163" s="39"/>
      <c r="D163" s="39"/>
      <c r="E163" s="38">
        <f>[2]!expavg($T$9:$T$26,$R$9:$R$26,K163,H163)</f>
        <v>0.58445368317707136</v>
      </c>
      <c r="F163" s="38">
        <f>[2]!expavg2($T$9:$T$26,I163,J163,$R$9:$R$26)</f>
        <v>0.58445368317707136</v>
      </c>
      <c r="H163" s="2">
        <f t="shared" si="10"/>
        <v>0</v>
      </c>
      <c r="I163" s="24">
        <f t="shared" si="11"/>
        <v>12</v>
      </c>
      <c r="J163" s="24">
        <f t="shared" si="12"/>
        <v>1</v>
      </c>
      <c r="K163" s="17">
        <f t="shared" si="13"/>
        <v>12</v>
      </c>
      <c r="M163" s="15">
        <f t="shared" ca="1" si="14"/>
        <v>38383</v>
      </c>
      <c r="N163" s="15">
        <f t="shared" ca="1" si="15"/>
        <v>42400</v>
      </c>
      <c r="Z163" s="1"/>
    </row>
    <row r="164" spans="3:26" x14ac:dyDescent="0.2">
      <c r="C164" s="39"/>
      <c r="D164" s="39"/>
      <c r="E164" s="38">
        <f>[2]!expavg($T$9:$T$26,$R$9:$R$26,K164,H164)</f>
        <v>0.58904781063234513</v>
      </c>
      <c r="F164" s="38" t="str">
        <f>[2]!expavg2($T$9:$T$26,I164,J164,$R$9:$R$26)</f>
        <v>ERROR: Please use EndPeriod &gt;= 1.</v>
      </c>
      <c r="H164" s="2">
        <f t="shared" ref="H164:H227" si="16">J164-1</f>
        <v>-1</v>
      </c>
      <c r="I164" s="24">
        <f t="shared" si="11"/>
        <v>12</v>
      </c>
      <c r="J164" s="24">
        <f t="shared" si="12"/>
        <v>0</v>
      </c>
      <c r="K164" s="17">
        <f t="shared" ref="K164:K227" si="17">I164-J164+1</f>
        <v>13</v>
      </c>
      <c r="M164" s="15">
        <f t="shared" ref="M164:M227" ca="1" si="18">OFFSET($P$27,-I164,0)</f>
        <v>38383</v>
      </c>
      <c r="N164" s="15">
        <f t="shared" ref="N164:N227" ca="1" si="19">OFFSET($P$27,-J164,0)</f>
        <v>0</v>
      </c>
      <c r="Z164" s="1"/>
    </row>
    <row r="165" spans="3:26" x14ac:dyDescent="0.2">
      <c r="C165" s="39"/>
      <c r="D165" s="39"/>
      <c r="E165" s="38">
        <f>[2]!expavg($T$9:$T$26,$R$9:$R$26,K165,H165)</f>
        <v>0.58606252655792312</v>
      </c>
      <c r="F165" s="38" t="str">
        <f>[2]!expavg2($T$9:$T$26,I165,J165,$R$9:$R$26)</f>
        <v>ERROR: Please use EndPeriod &gt;= 1.</v>
      </c>
      <c r="H165" s="2">
        <f t="shared" si="16"/>
        <v>-2</v>
      </c>
      <c r="I165" s="24">
        <f t="shared" si="11"/>
        <v>12</v>
      </c>
      <c r="J165" s="24">
        <f t="shared" si="12"/>
        <v>-1</v>
      </c>
      <c r="K165" s="17">
        <f t="shared" si="17"/>
        <v>14</v>
      </c>
      <c r="M165" s="15">
        <f t="shared" ca="1" si="18"/>
        <v>38383</v>
      </c>
      <c r="N165" s="15">
        <f t="shared" ca="1" si="19"/>
        <v>0</v>
      </c>
      <c r="Z165" s="1"/>
    </row>
    <row r="166" spans="3:26" x14ac:dyDescent="0.2">
      <c r="C166" s="39"/>
      <c r="D166" s="39"/>
      <c r="E166" s="38">
        <f>[2]!expavg($T$9:$T$26,$R$9:$R$26,K166,H166)</f>
        <v>0.70939186407915755</v>
      </c>
      <c r="F166" s="38" t="str">
        <f>[2]!expavg2($T$9:$T$26,I166,J166,$R$9:$R$26)</f>
        <v>ERROR: Please use EndPeriod &lt; BegPeriod.</v>
      </c>
      <c r="H166" s="2">
        <f t="shared" si="16"/>
        <v>14</v>
      </c>
      <c r="I166" s="24">
        <f t="shared" si="11"/>
        <v>11</v>
      </c>
      <c r="J166" s="24">
        <f t="shared" si="12"/>
        <v>15</v>
      </c>
      <c r="K166" s="17">
        <f t="shared" si="17"/>
        <v>-3</v>
      </c>
      <c r="M166" s="15">
        <f t="shared" ca="1" si="18"/>
        <v>38748</v>
      </c>
      <c r="N166" s="15">
        <f t="shared" ca="1" si="19"/>
        <v>37287</v>
      </c>
      <c r="Z166" s="1"/>
    </row>
    <row r="167" spans="3:26" x14ac:dyDescent="0.2">
      <c r="C167" s="39"/>
      <c r="D167" s="39"/>
      <c r="E167" s="38">
        <f>[2]!expavg($T$9:$T$26,$R$9:$R$26,K167,H167)</f>
        <v>0.67177139323204882</v>
      </c>
      <c r="F167" s="38" t="str">
        <f>[2]!expavg2($T$9:$T$26,I167,J167,$R$9:$R$26)</f>
        <v>ERROR: Please use EndPeriod &lt; BegPeriod.</v>
      </c>
      <c r="H167" s="2">
        <f t="shared" si="16"/>
        <v>13</v>
      </c>
      <c r="I167" s="24">
        <f t="shared" si="11"/>
        <v>11</v>
      </c>
      <c r="J167" s="24">
        <f t="shared" si="12"/>
        <v>14</v>
      </c>
      <c r="K167" s="17">
        <f t="shared" si="17"/>
        <v>-2</v>
      </c>
      <c r="M167" s="15">
        <f t="shared" ca="1" si="18"/>
        <v>38748</v>
      </c>
      <c r="N167" s="15">
        <f t="shared" ca="1" si="19"/>
        <v>37652</v>
      </c>
      <c r="Z167" s="1"/>
    </row>
    <row r="168" spans="3:26" x14ac:dyDescent="0.2">
      <c r="C168" s="39"/>
      <c r="D168" s="39"/>
      <c r="E168" s="38">
        <f>[2]!expavg($T$9:$T$26,$R$9:$R$26,K168,H168)</f>
        <v>0.66945167850810816</v>
      </c>
      <c r="F168" s="38" t="str">
        <f>[2]!expavg2($T$9:$T$26,I168,J168,$R$9:$R$26)</f>
        <v>ERROR: Please use EndPeriod &lt; BegPeriod.</v>
      </c>
      <c r="H168" s="2">
        <f t="shared" si="16"/>
        <v>12</v>
      </c>
      <c r="I168" s="24">
        <f t="shared" si="11"/>
        <v>11</v>
      </c>
      <c r="J168" s="24">
        <f t="shared" si="12"/>
        <v>13</v>
      </c>
      <c r="K168" s="17">
        <f t="shared" si="17"/>
        <v>-1</v>
      </c>
      <c r="M168" s="15">
        <f t="shared" ca="1" si="18"/>
        <v>38748</v>
      </c>
      <c r="N168" s="15">
        <f t="shared" ca="1" si="19"/>
        <v>38017</v>
      </c>
      <c r="Z168" s="1"/>
    </row>
    <row r="169" spans="3:26" x14ac:dyDescent="0.2">
      <c r="C169" s="39"/>
      <c r="D169" s="39"/>
      <c r="E169" s="38">
        <f>[2]!expavg($T$9:$T$26,$R$9:$R$26,K169,H169)</f>
        <v>0.67904388723605558</v>
      </c>
      <c r="F169" s="38" t="str">
        <f>[2]!expavg2($T$9:$T$26,I169,J169,$R$9:$R$26)</f>
        <v>ERROR: Please use EndPeriod &lt; BegPeriod.</v>
      </c>
      <c r="H169" s="2">
        <f t="shared" si="16"/>
        <v>11</v>
      </c>
      <c r="I169" s="24">
        <f t="shared" si="11"/>
        <v>11</v>
      </c>
      <c r="J169" s="24">
        <f t="shared" si="12"/>
        <v>12</v>
      </c>
      <c r="K169" s="17">
        <f t="shared" si="17"/>
        <v>0</v>
      </c>
      <c r="M169" s="15">
        <f t="shared" ca="1" si="18"/>
        <v>38748</v>
      </c>
      <c r="N169" s="15">
        <f t="shared" ca="1" si="19"/>
        <v>38383</v>
      </c>
      <c r="Z169" s="1"/>
    </row>
    <row r="170" spans="3:26" x14ac:dyDescent="0.2">
      <c r="C170" s="39"/>
      <c r="D170" s="39"/>
      <c r="E170" s="38">
        <f>[2]!expavg($T$9:$T$26,$R$9:$R$26,K170,H170)</f>
        <v>0.73955412655276431</v>
      </c>
      <c r="F170" s="38">
        <f>[2]!expavg2($T$9:$T$26,I170,J170,$R$9:$R$26)</f>
        <v>0.73955412655276431</v>
      </c>
      <c r="H170" s="2">
        <f t="shared" si="16"/>
        <v>10</v>
      </c>
      <c r="I170" s="24">
        <f t="shared" si="11"/>
        <v>11</v>
      </c>
      <c r="J170" s="24">
        <f t="shared" si="12"/>
        <v>11</v>
      </c>
      <c r="K170" s="17">
        <f t="shared" si="17"/>
        <v>1</v>
      </c>
      <c r="M170" s="15">
        <f t="shared" ca="1" si="18"/>
        <v>38748</v>
      </c>
      <c r="N170" s="15">
        <f t="shared" ca="1" si="19"/>
        <v>38748</v>
      </c>
      <c r="Z170" s="1"/>
    </row>
    <row r="171" spans="3:26" x14ac:dyDescent="0.2">
      <c r="C171" s="39"/>
      <c r="D171" s="39"/>
      <c r="E171" s="38">
        <f>[2]!expavg($T$9:$T$26,$R$9:$R$26,K171,H171)</f>
        <v>0.65317605490384312</v>
      </c>
      <c r="F171" s="38">
        <f>[2]!expavg2($T$9:$T$26,I171,J171,$R$9:$R$26)</f>
        <v>0.65317605490384312</v>
      </c>
      <c r="H171" s="2">
        <f t="shared" si="16"/>
        <v>9</v>
      </c>
      <c r="I171" s="24">
        <f t="shared" si="11"/>
        <v>11</v>
      </c>
      <c r="J171" s="24">
        <f t="shared" si="12"/>
        <v>10</v>
      </c>
      <c r="K171" s="17">
        <f t="shared" si="17"/>
        <v>2</v>
      </c>
      <c r="M171" s="15">
        <f t="shared" ca="1" si="18"/>
        <v>38748</v>
      </c>
      <c r="N171" s="15">
        <f t="shared" ca="1" si="19"/>
        <v>39113</v>
      </c>
      <c r="Z171" s="1"/>
    </row>
    <row r="172" spans="3:26" x14ac:dyDescent="0.2">
      <c r="C172" s="39"/>
      <c r="D172" s="39"/>
      <c r="E172" s="38">
        <f>[2]!expavg($T$9:$T$26,$R$9:$R$26,K172,H172)</f>
        <v>0.6418811493744182</v>
      </c>
      <c r="F172" s="38">
        <f>[2]!expavg2($T$9:$T$26,I172,J172,$R$9:$R$26)</f>
        <v>0.6418811493744182</v>
      </c>
      <c r="H172" s="2">
        <f t="shared" si="16"/>
        <v>8</v>
      </c>
      <c r="I172" s="24">
        <f t="shared" si="11"/>
        <v>11</v>
      </c>
      <c r="J172" s="24">
        <f t="shared" si="12"/>
        <v>9</v>
      </c>
      <c r="K172" s="17">
        <f t="shared" si="17"/>
        <v>3</v>
      </c>
      <c r="M172" s="15">
        <f t="shared" ca="1" si="18"/>
        <v>38748</v>
      </c>
      <c r="N172" s="15">
        <f t="shared" ca="1" si="19"/>
        <v>39478</v>
      </c>
      <c r="Z172" s="1"/>
    </row>
    <row r="173" spans="3:26" x14ac:dyDescent="0.2">
      <c r="C173" s="39"/>
      <c r="D173" s="39"/>
      <c r="E173" s="38">
        <f>[2]!expavg($T$9:$T$26,$R$9:$R$26,K173,H173)</f>
        <v>0.69148827251887679</v>
      </c>
      <c r="F173" s="38">
        <f>[2]!expavg2($T$9:$T$26,I173,J173,$R$9:$R$26)</f>
        <v>0.69148827251887679</v>
      </c>
      <c r="H173" s="2">
        <f t="shared" si="16"/>
        <v>7</v>
      </c>
      <c r="I173" s="24">
        <f t="shared" si="11"/>
        <v>11</v>
      </c>
      <c r="J173" s="24">
        <f t="shared" si="12"/>
        <v>8</v>
      </c>
      <c r="K173" s="17">
        <f t="shared" si="17"/>
        <v>4</v>
      </c>
      <c r="M173" s="15">
        <f t="shared" ca="1" si="18"/>
        <v>38748</v>
      </c>
      <c r="N173" s="15">
        <f t="shared" ca="1" si="19"/>
        <v>39844</v>
      </c>
      <c r="Z173" s="1"/>
    </row>
    <row r="174" spans="3:26" x14ac:dyDescent="0.2">
      <c r="C174" s="39"/>
      <c r="D174" s="39"/>
      <c r="E174" s="38">
        <f>[2]!expavg($T$9:$T$26,$R$9:$R$26,K174,H174)</f>
        <v>0.67347040468822517</v>
      </c>
      <c r="F174" s="38">
        <f>[2]!expavg2($T$9:$T$26,I174,J174,$R$9:$R$26)</f>
        <v>0.67347040468822517</v>
      </c>
      <c r="H174" s="2">
        <f t="shared" si="16"/>
        <v>6</v>
      </c>
      <c r="I174" s="24">
        <f t="shared" si="11"/>
        <v>11</v>
      </c>
      <c r="J174" s="24">
        <f t="shared" si="12"/>
        <v>7</v>
      </c>
      <c r="K174" s="17">
        <f t="shared" si="17"/>
        <v>5</v>
      </c>
      <c r="M174" s="15">
        <f t="shared" ca="1" si="18"/>
        <v>38748</v>
      </c>
      <c r="N174" s="15">
        <f t="shared" ca="1" si="19"/>
        <v>40209</v>
      </c>
      <c r="Z174" s="1"/>
    </row>
    <row r="175" spans="3:26" x14ac:dyDescent="0.2">
      <c r="C175" s="39"/>
      <c r="D175" s="39"/>
      <c r="E175" s="38">
        <f>[2]!expavg($T$9:$T$26,$R$9:$R$26,K175,H175)</f>
        <v>0.64435173534112566</v>
      </c>
      <c r="F175" s="38">
        <f>[2]!expavg2($T$9:$T$26,I175,J175,$R$9:$R$26)</f>
        <v>0.64435173534112566</v>
      </c>
      <c r="H175" s="2">
        <f t="shared" si="16"/>
        <v>5</v>
      </c>
      <c r="I175" s="24">
        <f t="shared" si="11"/>
        <v>11</v>
      </c>
      <c r="J175" s="24">
        <f t="shared" si="12"/>
        <v>6</v>
      </c>
      <c r="K175" s="17">
        <f t="shared" si="17"/>
        <v>6</v>
      </c>
      <c r="M175" s="15">
        <f t="shared" ca="1" si="18"/>
        <v>38748</v>
      </c>
      <c r="N175" s="15">
        <f t="shared" ca="1" si="19"/>
        <v>40574</v>
      </c>
      <c r="Z175" s="1"/>
    </row>
    <row r="176" spans="3:26" x14ac:dyDescent="0.2">
      <c r="C176" s="39"/>
      <c r="D176" s="39"/>
      <c r="E176" s="38">
        <f>[2]!expavg($T$9:$T$26,$R$9:$R$26,K176,H176)</f>
        <v>0.61454239986101233</v>
      </c>
      <c r="F176" s="38">
        <f>[2]!expavg2($T$9:$T$26,I176,J176,$R$9:$R$26)</f>
        <v>0.61454239986101233</v>
      </c>
      <c r="H176" s="2">
        <f t="shared" si="16"/>
        <v>4</v>
      </c>
      <c r="I176" s="24">
        <f t="shared" si="11"/>
        <v>11</v>
      </c>
      <c r="J176" s="24">
        <f t="shared" si="12"/>
        <v>5</v>
      </c>
      <c r="K176" s="17">
        <f t="shared" si="17"/>
        <v>7</v>
      </c>
      <c r="M176" s="15">
        <f t="shared" ca="1" si="18"/>
        <v>38748</v>
      </c>
      <c r="N176" s="15">
        <f t="shared" ca="1" si="19"/>
        <v>40939</v>
      </c>
      <c r="Z176" s="1"/>
    </row>
    <row r="177" spans="3:26" x14ac:dyDescent="0.2">
      <c r="C177" s="39"/>
      <c r="D177" s="39"/>
      <c r="E177" s="38">
        <f>[2]!expavg($T$9:$T$26,$R$9:$R$26,K177,H177)</f>
        <v>0.59845902233522763</v>
      </c>
      <c r="F177" s="38">
        <f>[2]!expavg2($T$9:$T$26,I177,J177,$R$9:$R$26)</f>
        <v>0.59845902233522763</v>
      </c>
      <c r="H177" s="2">
        <f t="shared" si="16"/>
        <v>3</v>
      </c>
      <c r="I177" s="24">
        <f t="shared" si="11"/>
        <v>11</v>
      </c>
      <c r="J177" s="24">
        <f t="shared" si="12"/>
        <v>4</v>
      </c>
      <c r="K177" s="17">
        <f t="shared" si="17"/>
        <v>8</v>
      </c>
      <c r="M177" s="15">
        <f t="shared" ca="1" si="18"/>
        <v>38748</v>
      </c>
      <c r="N177" s="15">
        <f t="shared" ca="1" si="19"/>
        <v>41305</v>
      </c>
      <c r="Z177" s="1"/>
    </row>
    <row r="178" spans="3:26" x14ac:dyDescent="0.2">
      <c r="C178" s="39"/>
      <c r="D178" s="39"/>
      <c r="E178" s="38">
        <f>[2]!expavg($T$9:$T$26,$R$9:$R$26,K178,H178)</f>
        <v>0.59020983695441975</v>
      </c>
      <c r="F178" s="38">
        <f>[2]!expavg2($T$9:$T$26,I178,J178,$R$9:$R$26)</f>
        <v>0.59020983695441975</v>
      </c>
      <c r="H178" s="2">
        <f t="shared" si="16"/>
        <v>2</v>
      </c>
      <c r="I178" s="24">
        <f t="shared" si="11"/>
        <v>11</v>
      </c>
      <c r="J178" s="24">
        <f t="shared" si="12"/>
        <v>3</v>
      </c>
      <c r="K178" s="17">
        <f t="shared" si="17"/>
        <v>9</v>
      </c>
      <c r="M178" s="15">
        <f t="shared" ca="1" si="18"/>
        <v>38748</v>
      </c>
      <c r="N178" s="15">
        <f t="shared" ca="1" si="19"/>
        <v>41670</v>
      </c>
      <c r="Z178" s="1"/>
    </row>
    <row r="179" spans="3:26" x14ac:dyDescent="0.2">
      <c r="C179" s="39"/>
      <c r="D179" s="39"/>
      <c r="E179" s="38">
        <f>[2]!expavg($T$9:$T$26,$R$9:$R$26,K179,H179)</f>
        <v>0.57455608979843042</v>
      </c>
      <c r="F179" s="38">
        <f>[2]!expavg2($T$9:$T$26,I179,J179,$R$9:$R$26)</f>
        <v>0.57455608979843042</v>
      </c>
      <c r="H179" s="2">
        <f t="shared" si="16"/>
        <v>1</v>
      </c>
      <c r="I179" s="24">
        <f t="shared" si="11"/>
        <v>11</v>
      </c>
      <c r="J179" s="24">
        <f t="shared" si="12"/>
        <v>2</v>
      </c>
      <c r="K179" s="17">
        <f t="shared" si="17"/>
        <v>10</v>
      </c>
      <c r="M179" s="15">
        <f t="shared" ca="1" si="18"/>
        <v>38748</v>
      </c>
      <c r="N179" s="15">
        <f t="shared" ca="1" si="19"/>
        <v>42035</v>
      </c>
      <c r="Z179" s="1"/>
    </row>
    <row r="180" spans="3:26" x14ac:dyDescent="0.2">
      <c r="C180" s="39"/>
      <c r="D180" s="39"/>
      <c r="E180" s="38">
        <f>[2]!expavg($T$9:$T$26,$R$9:$R$26,K180,H180)</f>
        <v>0.57300774763758144</v>
      </c>
      <c r="F180" s="38">
        <f>[2]!expavg2($T$9:$T$26,I180,J180,$R$9:$R$26)</f>
        <v>0.57300774763758144</v>
      </c>
      <c r="H180" s="2">
        <f t="shared" si="16"/>
        <v>0</v>
      </c>
      <c r="I180" s="24">
        <f t="shared" ref="I180:I243" si="20">I163-1</f>
        <v>11</v>
      </c>
      <c r="J180" s="24">
        <f t="shared" ref="J180:J243" si="21">J163</f>
        <v>1</v>
      </c>
      <c r="K180" s="17">
        <f t="shared" si="17"/>
        <v>11</v>
      </c>
      <c r="M180" s="15">
        <f t="shared" ca="1" si="18"/>
        <v>38748</v>
      </c>
      <c r="N180" s="15">
        <f t="shared" ca="1" si="19"/>
        <v>42400</v>
      </c>
      <c r="Z180" s="1"/>
    </row>
    <row r="181" spans="3:26" x14ac:dyDescent="0.2">
      <c r="C181" s="39"/>
      <c r="D181" s="39"/>
      <c r="E181" s="38">
        <f>[2]!expavg($T$9:$T$26,$R$9:$R$26,K181,H181)</f>
        <v>0.58445368317707136</v>
      </c>
      <c r="F181" s="38" t="str">
        <f>[2]!expavg2($T$9:$T$26,I181,J181,$R$9:$R$26)</f>
        <v>ERROR: Please use EndPeriod &gt;= 1.</v>
      </c>
      <c r="H181" s="2">
        <f t="shared" si="16"/>
        <v>-1</v>
      </c>
      <c r="I181" s="24">
        <f t="shared" si="20"/>
        <v>11</v>
      </c>
      <c r="J181" s="24">
        <f t="shared" si="21"/>
        <v>0</v>
      </c>
      <c r="K181" s="17">
        <f t="shared" si="17"/>
        <v>12</v>
      </c>
      <c r="M181" s="15">
        <f t="shared" ca="1" si="18"/>
        <v>38748</v>
      </c>
      <c r="N181" s="15">
        <f t="shared" ca="1" si="19"/>
        <v>0</v>
      </c>
      <c r="Z181" s="1"/>
    </row>
    <row r="182" spans="3:26" x14ac:dyDescent="0.2">
      <c r="C182" s="39"/>
      <c r="D182" s="39"/>
      <c r="E182" s="38">
        <f>[2]!expavg($T$9:$T$26,$R$9:$R$26,K182,H182)</f>
        <v>0.58904781063234513</v>
      </c>
      <c r="F182" s="38" t="str">
        <f>[2]!expavg2($T$9:$T$26,I182,J182,$R$9:$R$26)</f>
        <v>ERROR: Please use EndPeriod &gt;= 1.</v>
      </c>
      <c r="H182" s="2">
        <f t="shared" si="16"/>
        <v>-2</v>
      </c>
      <c r="I182" s="24">
        <f t="shared" si="20"/>
        <v>11</v>
      </c>
      <c r="J182" s="24">
        <f t="shared" si="21"/>
        <v>-1</v>
      </c>
      <c r="K182" s="17">
        <f t="shared" si="17"/>
        <v>13</v>
      </c>
      <c r="M182" s="15">
        <f t="shared" ca="1" si="18"/>
        <v>38748</v>
      </c>
      <c r="N182" s="15">
        <f t="shared" ca="1" si="19"/>
        <v>0</v>
      </c>
      <c r="Z182" s="1"/>
    </row>
    <row r="183" spans="3:26" x14ac:dyDescent="0.2">
      <c r="C183" s="39"/>
      <c r="D183" s="39"/>
      <c r="E183" s="38">
        <f>[2]!expavg($T$9:$T$26,$R$9:$R$26,K183,H183)</f>
        <v>0.70939186407915755</v>
      </c>
      <c r="F183" s="38" t="str">
        <f>[2]!expavg2($T$9:$T$26,I183,J183,$R$9:$R$26)</f>
        <v>ERROR: Please use EndPeriod &lt; BegPeriod.</v>
      </c>
      <c r="H183" s="2">
        <f t="shared" si="16"/>
        <v>14</v>
      </c>
      <c r="I183" s="24">
        <f t="shared" si="20"/>
        <v>10</v>
      </c>
      <c r="J183" s="24">
        <f t="shared" si="21"/>
        <v>15</v>
      </c>
      <c r="K183" s="17">
        <f t="shared" si="17"/>
        <v>-4</v>
      </c>
      <c r="M183" s="15">
        <f t="shared" ca="1" si="18"/>
        <v>39113</v>
      </c>
      <c r="N183" s="15">
        <f t="shared" ca="1" si="19"/>
        <v>37287</v>
      </c>
      <c r="Z183" s="1"/>
    </row>
    <row r="184" spans="3:26" x14ac:dyDescent="0.2">
      <c r="C184" s="39"/>
      <c r="D184" s="39"/>
      <c r="E184" s="38">
        <f>[2]!expavg($T$9:$T$26,$R$9:$R$26,K184,H184)</f>
        <v>0.67177139323204882</v>
      </c>
      <c r="F184" s="38" t="str">
        <f>[2]!expavg2($T$9:$T$26,I184,J184,$R$9:$R$26)</f>
        <v>ERROR: Please use EndPeriod &lt; BegPeriod.</v>
      </c>
      <c r="H184" s="2">
        <f t="shared" si="16"/>
        <v>13</v>
      </c>
      <c r="I184" s="24">
        <f t="shared" si="20"/>
        <v>10</v>
      </c>
      <c r="J184" s="24">
        <f t="shared" si="21"/>
        <v>14</v>
      </c>
      <c r="K184" s="17">
        <f t="shared" si="17"/>
        <v>-3</v>
      </c>
      <c r="M184" s="15">
        <f t="shared" ca="1" si="18"/>
        <v>39113</v>
      </c>
      <c r="N184" s="15">
        <f t="shared" ca="1" si="19"/>
        <v>37652</v>
      </c>
      <c r="Z184" s="1"/>
    </row>
    <row r="185" spans="3:26" x14ac:dyDescent="0.2">
      <c r="C185" s="39"/>
      <c r="D185" s="39"/>
      <c r="E185" s="38">
        <f>[2]!expavg($T$9:$T$26,$R$9:$R$26,K185,H185)</f>
        <v>0.66945167850810816</v>
      </c>
      <c r="F185" s="38" t="str">
        <f>[2]!expavg2($T$9:$T$26,I185,J185,$R$9:$R$26)</f>
        <v>ERROR: Please use EndPeriod &lt; BegPeriod.</v>
      </c>
      <c r="H185" s="2">
        <f t="shared" si="16"/>
        <v>12</v>
      </c>
      <c r="I185" s="24">
        <f t="shared" si="20"/>
        <v>10</v>
      </c>
      <c r="J185" s="24">
        <f t="shared" si="21"/>
        <v>13</v>
      </c>
      <c r="K185" s="17">
        <f t="shared" si="17"/>
        <v>-2</v>
      </c>
      <c r="M185" s="15">
        <f t="shared" ca="1" si="18"/>
        <v>39113</v>
      </c>
      <c r="N185" s="15">
        <f t="shared" ca="1" si="19"/>
        <v>38017</v>
      </c>
      <c r="Z185" s="1"/>
    </row>
    <row r="186" spans="3:26" x14ac:dyDescent="0.2">
      <c r="C186" s="39"/>
      <c r="D186" s="39"/>
      <c r="E186" s="38">
        <f>[2]!expavg($T$9:$T$26,$R$9:$R$26,K186,H186)</f>
        <v>0.67904388723605558</v>
      </c>
      <c r="F186" s="38" t="str">
        <f>[2]!expavg2($T$9:$T$26,I186,J186,$R$9:$R$26)</f>
        <v>ERROR: Please use EndPeriod &lt; BegPeriod.</v>
      </c>
      <c r="H186" s="2">
        <f t="shared" si="16"/>
        <v>11</v>
      </c>
      <c r="I186" s="24">
        <f t="shared" si="20"/>
        <v>10</v>
      </c>
      <c r="J186" s="24">
        <f t="shared" si="21"/>
        <v>12</v>
      </c>
      <c r="K186" s="17">
        <f t="shared" si="17"/>
        <v>-1</v>
      </c>
      <c r="M186" s="15">
        <f t="shared" ca="1" si="18"/>
        <v>39113</v>
      </c>
      <c r="N186" s="15">
        <f t="shared" ca="1" si="19"/>
        <v>38383</v>
      </c>
      <c r="Z186" s="1"/>
    </row>
    <row r="187" spans="3:26" x14ac:dyDescent="0.2">
      <c r="C187" s="39"/>
      <c r="D187" s="39"/>
      <c r="E187" s="38">
        <f>[2]!expavg($T$9:$T$26,$R$9:$R$26,K187,H187)</f>
        <v>0.68957279758642287</v>
      </c>
      <c r="F187" s="38" t="str">
        <f>[2]!expavg2($T$9:$T$26,I187,J187,$R$9:$R$26)</f>
        <v>ERROR: Please use EndPeriod &lt; BegPeriod.</v>
      </c>
      <c r="H187" s="2">
        <f t="shared" si="16"/>
        <v>10</v>
      </c>
      <c r="I187" s="24">
        <f t="shared" si="20"/>
        <v>10</v>
      </c>
      <c r="J187" s="24">
        <f t="shared" si="21"/>
        <v>11</v>
      </c>
      <c r="K187" s="17">
        <f t="shared" si="17"/>
        <v>0</v>
      </c>
      <c r="M187" s="15">
        <f t="shared" ca="1" si="18"/>
        <v>39113</v>
      </c>
      <c r="N187" s="15">
        <f t="shared" ca="1" si="19"/>
        <v>38748</v>
      </c>
      <c r="Z187" s="1"/>
    </row>
    <row r="188" spans="3:26" x14ac:dyDescent="0.2">
      <c r="C188" s="39"/>
      <c r="D188" s="39"/>
      <c r="E188" s="38">
        <f>[2]!expavg($T$9:$T$26,$R$9:$R$26,K188,H188)</f>
        <v>0.5587452108731924</v>
      </c>
      <c r="F188" s="38">
        <f>[2]!expavg2($T$9:$T$26,I188,J188,$R$9:$R$26)</f>
        <v>0.5587452108731924</v>
      </c>
      <c r="H188" s="2">
        <f t="shared" si="16"/>
        <v>9</v>
      </c>
      <c r="I188" s="24">
        <f t="shared" si="20"/>
        <v>10</v>
      </c>
      <c r="J188" s="24">
        <f t="shared" si="21"/>
        <v>10</v>
      </c>
      <c r="K188" s="17">
        <f t="shared" si="17"/>
        <v>1</v>
      </c>
      <c r="M188" s="15">
        <f t="shared" ca="1" si="18"/>
        <v>39113</v>
      </c>
      <c r="N188" s="15">
        <f t="shared" ca="1" si="19"/>
        <v>39113</v>
      </c>
      <c r="Z188" s="1"/>
    </row>
    <row r="189" spans="3:26" x14ac:dyDescent="0.2">
      <c r="C189" s="39"/>
      <c r="D189" s="39"/>
      <c r="E189" s="38">
        <f>[2]!expavg($T$9:$T$26,$R$9:$R$26,K189,H189)</f>
        <v>0.58746939110308605</v>
      </c>
      <c r="F189" s="38">
        <f>[2]!expavg2($T$9:$T$26,I189,J189,$R$9:$R$26)</f>
        <v>0.58746939110308605</v>
      </c>
      <c r="H189" s="2">
        <f t="shared" si="16"/>
        <v>8</v>
      </c>
      <c r="I189" s="24">
        <f t="shared" si="20"/>
        <v>10</v>
      </c>
      <c r="J189" s="24">
        <f t="shared" si="21"/>
        <v>9</v>
      </c>
      <c r="K189" s="17">
        <f t="shared" si="17"/>
        <v>2</v>
      </c>
      <c r="M189" s="15">
        <f t="shared" ca="1" si="18"/>
        <v>39113</v>
      </c>
      <c r="N189" s="15">
        <f t="shared" ca="1" si="19"/>
        <v>39478</v>
      </c>
      <c r="Z189" s="1"/>
    </row>
    <row r="190" spans="3:26" x14ac:dyDescent="0.2">
      <c r="C190" s="39"/>
      <c r="D190" s="39"/>
      <c r="E190" s="38">
        <f>[2]!expavg($T$9:$T$26,$R$9:$R$26,K190,H190)</f>
        <v>0.67380551796677834</v>
      </c>
      <c r="F190" s="38">
        <f>[2]!expavg2($T$9:$T$26,I190,J190,$R$9:$R$26)</f>
        <v>0.67380551796677834</v>
      </c>
      <c r="H190" s="2">
        <f t="shared" si="16"/>
        <v>7</v>
      </c>
      <c r="I190" s="24">
        <f t="shared" si="20"/>
        <v>10</v>
      </c>
      <c r="J190" s="24">
        <f t="shared" si="21"/>
        <v>8</v>
      </c>
      <c r="K190" s="17">
        <f t="shared" si="17"/>
        <v>3</v>
      </c>
      <c r="M190" s="15">
        <f t="shared" ca="1" si="18"/>
        <v>39113</v>
      </c>
      <c r="N190" s="15">
        <f t="shared" ca="1" si="19"/>
        <v>39844</v>
      </c>
      <c r="Z190" s="1"/>
    </row>
    <row r="191" spans="3:26" x14ac:dyDescent="0.2">
      <c r="C191" s="39"/>
      <c r="D191" s="39"/>
      <c r="E191" s="38">
        <f>[2]!expavg($T$9:$T$26,$R$9:$R$26,K191,H191)</f>
        <v>0.65556188227127121</v>
      </c>
      <c r="F191" s="38">
        <f>[2]!expavg2($T$9:$T$26,I191,J191,$R$9:$R$26)</f>
        <v>0.65556188227127121</v>
      </c>
      <c r="H191" s="2">
        <f t="shared" si="16"/>
        <v>6</v>
      </c>
      <c r="I191" s="24">
        <f t="shared" si="20"/>
        <v>10</v>
      </c>
      <c r="J191" s="24">
        <f t="shared" si="21"/>
        <v>7</v>
      </c>
      <c r="K191" s="17">
        <f t="shared" si="17"/>
        <v>4</v>
      </c>
      <c r="M191" s="15">
        <f t="shared" ca="1" si="18"/>
        <v>39113</v>
      </c>
      <c r="N191" s="15">
        <f t="shared" ca="1" si="19"/>
        <v>40209</v>
      </c>
      <c r="Z191" s="1"/>
    </row>
    <row r="192" spans="3:26" x14ac:dyDescent="0.2">
      <c r="C192" s="39"/>
      <c r="D192" s="39"/>
      <c r="E192" s="38">
        <f>[2]!expavg($T$9:$T$26,$R$9:$R$26,K192,H192)</f>
        <v>0.62422844201216843</v>
      </c>
      <c r="F192" s="38">
        <f>[2]!expavg2($T$9:$T$26,I192,J192,$R$9:$R$26)</f>
        <v>0.62422844201216843</v>
      </c>
      <c r="H192" s="2">
        <f t="shared" si="16"/>
        <v>5</v>
      </c>
      <c r="I192" s="24">
        <f t="shared" si="20"/>
        <v>10</v>
      </c>
      <c r="J192" s="24">
        <f t="shared" si="21"/>
        <v>6</v>
      </c>
      <c r="K192" s="17">
        <f t="shared" si="17"/>
        <v>5</v>
      </c>
      <c r="M192" s="15">
        <f t="shared" ca="1" si="18"/>
        <v>39113</v>
      </c>
      <c r="N192" s="15">
        <f t="shared" ca="1" si="19"/>
        <v>40574</v>
      </c>
      <c r="Z192" s="1"/>
    </row>
    <row r="193" spans="3:26" x14ac:dyDescent="0.2">
      <c r="C193" s="39"/>
      <c r="D193" s="39"/>
      <c r="E193" s="38">
        <f>[2]!expavg($T$9:$T$26,$R$9:$R$26,K193,H193)</f>
        <v>0.59390289511610483</v>
      </c>
      <c r="F193" s="38">
        <f>[2]!expavg2($T$9:$T$26,I193,J193,$R$9:$R$26)</f>
        <v>0.59390289511610483</v>
      </c>
      <c r="H193" s="2">
        <f t="shared" si="16"/>
        <v>4</v>
      </c>
      <c r="I193" s="24">
        <f t="shared" si="20"/>
        <v>10</v>
      </c>
      <c r="J193" s="24">
        <f t="shared" si="21"/>
        <v>5</v>
      </c>
      <c r="K193" s="17">
        <f t="shared" si="17"/>
        <v>6</v>
      </c>
      <c r="M193" s="15">
        <f t="shared" ca="1" si="18"/>
        <v>39113</v>
      </c>
      <c r="N193" s="15">
        <f t="shared" ca="1" si="19"/>
        <v>40939</v>
      </c>
      <c r="Z193" s="1"/>
    </row>
    <row r="194" spans="3:26" x14ac:dyDescent="0.2">
      <c r="C194" s="39"/>
      <c r="D194" s="39"/>
      <c r="E194" s="38">
        <f>[2]!expavg($T$9:$T$26,$R$9:$R$26,K194,H194)</f>
        <v>0.57868368734377229</v>
      </c>
      <c r="F194" s="38">
        <f>[2]!expavg2($T$9:$T$26,I194,J194,$R$9:$R$26)</f>
        <v>0.57868368734377229</v>
      </c>
      <c r="H194" s="2">
        <f t="shared" si="16"/>
        <v>3</v>
      </c>
      <c r="I194" s="24">
        <f t="shared" si="20"/>
        <v>10</v>
      </c>
      <c r="J194" s="24">
        <f t="shared" si="21"/>
        <v>4</v>
      </c>
      <c r="K194" s="17">
        <f t="shared" si="17"/>
        <v>7</v>
      </c>
      <c r="M194" s="15">
        <f t="shared" ca="1" si="18"/>
        <v>39113</v>
      </c>
      <c r="N194" s="15">
        <f t="shared" ca="1" si="19"/>
        <v>41305</v>
      </c>
      <c r="Z194" s="1"/>
    </row>
    <row r="195" spans="3:26" x14ac:dyDescent="0.2">
      <c r="C195" s="39"/>
      <c r="D195" s="39"/>
      <c r="E195" s="38">
        <f>[2]!expavg($T$9:$T$26,$R$9:$R$26,K195,H195)</f>
        <v>0.57203524271222572</v>
      </c>
      <c r="F195" s="38">
        <f>[2]!expavg2($T$9:$T$26,I195,J195,$R$9:$R$26)</f>
        <v>0.57203524271222572</v>
      </c>
      <c r="H195" s="2">
        <f t="shared" si="16"/>
        <v>2</v>
      </c>
      <c r="I195" s="24">
        <f t="shared" si="20"/>
        <v>10</v>
      </c>
      <c r="J195" s="24">
        <f t="shared" si="21"/>
        <v>3</v>
      </c>
      <c r="K195" s="17">
        <f t="shared" si="17"/>
        <v>8</v>
      </c>
      <c r="M195" s="15">
        <f t="shared" ca="1" si="18"/>
        <v>39113</v>
      </c>
      <c r="N195" s="15">
        <f t="shared" ca="1" si="19"/>
        <v>41670</v>
      </c>
      <c r="Z195" s="1"/>
    </row>
    <row r="196" spans="3:26" x14ac:dyDescent="0.2">
      <c r="C196" s="39"/>
      <c r="D196" s="39"/>
      <c r="E196" s="38">
        <f>[2]!expavg($T$9:$T$26,$R$9:$R$26,K196,H196)</f>
        <v>0.55681078266101791</v>
      </c>
      <c r="F196" s="38">
        <f>[2]!expavg2($T$9:$T$26,I196,J196,$R$9:$R$26)</f>
        <v>0.55681078266101791</v>
      </c>
      <c r="H196" s="2">
        <f t="shared" si="16"/>
        <v>1</v>
      </c>
      <c r="I196" s="24">
        <f t="shared" si="20"/>
        <v>10</v>
      </c>
      <c r="J196" s="24">
        <f t="shared" si="21"/>
        <v>2</v>
      </c>
      <c r="K196" s="17">
        <f t="shared" si="17"/>
        <v>9</v>
      </c>
      <c r="M196" s="15">
        <f t="shared" ca="1" si="18"/>
        <v>39113</v>
      </c>
      <c r="N196" s="15">
        <f t="shared" ca="1" si="19"/>
        <v>42035</v>
      </c>
      <c r="Z196" s="1"/>
    </row>
    <row r="197" spans="3:26" x14ac:dyDescent="0.2">
      <c r="C197" s="39"/>
      <c r="D197" s="39"/>
      <c r="E197" s="38">
        <f>[2]!expavg($T$9:$T$26,$R$9:$R$26,K197,H197)</f>
        <v>0.55655942567211181</v>
      </c>
      <c r="F197" s="38">
        <f>[2]!expavg2($T$9:$T$26,I197,J197,$R$9:$R$26)</f>
        <v>0.55655942567211181</v>
      </c>
      <c r="H197" s="2">
        <f t="shared" si="16"/>
        <v>0</v>
      </c>
      <c r="I197" s="24">
        <f t="shared" si="20"/>
        <v>10</v>
      </c>
      <c r="J197" s="24">
        <f t="shared" si="21"/>
        <v>1</v>
      </c>
      <c r="K197" s="17">
        <f t="shared" si="17"/>
        <v>10</v>
      </c>
      <c r="M197" s="15">
        <f t="shared" ca="1" si="18"/>
        <v>39113</v>
      </c>
      <c r="N197" s="15">
        <f t="shared" ca="1" si="19"/>
        <v>42400</v>
      </c>
      <c r="Z197" s="1"/>
    </row>
    <row r="198" spans="3:26" x14ac:dyDescent="0.2">
      <c r="C198" s="39"/>
      <c r="D198" s="39"/>
      <c r="E198" s="38">
        <f>[2]!expavg($T$9:$T$26,$R$9:$R$26,K198,H198)</f>
        <v>0.57300774763758144</v>
      </c>
      <c r="F198" s="38" t="str">
        <f>[2]!expavg2($T$9:$T$26,I198,J198,$R$9:$R$26)</f>
        <v>ERROR: Please use EndPeriod &gt;= 1.</v>
      </c>
      <c r="H198" s="2">
        <f t="shared" si="16"/>
        <v>-1</v>
      </c>
      <c r="I198" s="24">
        <f t="shared" si="20"/>
        <v>10</v>
      </c>
      <c r="J198" s="24">
        <f t="shared" si="21"/>
        <v>0</v>
      </c>
      <c r="K198" s="17">
        <f t="shared" si="17"/>
        <v>11</v>
      </c>
      <c r="M198" s="15">
        <f t="shared" ca="1" si="18"/>
        <v>39113</v>
      </c>
      <c r="N198" s="15">
        <f t="shared" ca="1" si="19"/>
        <v>0</v>
      </c>
      <c r="Z198" s="1"/>
    </row>
    <row r="199" spans="3:26" x14ac:dyDescent="0.2">
      <c r="C199" s="39"/>
      <c r="D199" s="39"/>
      <c r="E199" s="38">
        <f>[2]!expavg($T$9:$T$26,$R$9:$R$26,K199,H199)</f>
        <v>0.58445368317707136</v>
      </c>
      <c r="F199" s="38" t="str">
        <f>[2]!expavg2($T$9:$T$26,I199,J199,$R$9:$R$26)</f>
        <v>ERROR: Please use EndPeriod &gt;= 1.</v>
      </c>
      <c r="H199" s="2">
        <f t="shared" si="16"/>
        <v>-2</v>
      </c>
      <c r="I199" s="24">
        <f t="shared" si="20"/>
        <v>10</v>
      </c>
      <c r="J199" s="24">
        <f t="shared" si="21"/>
        <v>-1</v>
      </c>
      <c r="K199" s="17">
        <f t="shared" si="17"/>
        <v>12</v>
      </c>
      <c r="M199" s="15">
        <f t="shared" ca="1" si="18"/>
        <v>39113</v>
      </c>
      <c r="N199" s="15">
        <f t="shared" ca="1" si="19"/>
        <v>0</v>
      </c>
      <c r="Z199" s="1"/>
    </row>
    <row r="200" spans="3:26" x14ac:dyDescent="0.2">
      <c r="C200" s="39"/>
      <c r="D200" s="39"/>
      <c r="E200" s="38">
        <f>[2]!expavg($T$9:$T$26,$R$9:$R$26,K200,H200)</f>
        <v>0.70939186407915755</v>
      </c>
      <c r="F200" s="38" t="str">
        <f>[2]!expavg2($T$9:$T$26,I200,J200,$R$9:$R$26)</f>
        <v>ERROR: Please use EndPeriod &lt; BegPeriod.</v>
      </c>
      <c r="H200" s="2">
        <f t="shared" si="16"/>
        <v>14</v>
      </c>
      <c r="I200" s="24">
        <f t="shared" si="20"/>
        <v>9</v>
      </c>
      <c r="J200" s="24">
        <f t="shared" si="21"/>
        <v>15</v>
      </c>
      <c r="K200" s="17">
        <f t="shared" si="17"/>
        <v>-5</v>
      </c>
      <c r="M200" s="15">
        <f t="shared" ca="1" si="18"/>
        <v>39478</v>
      </c>
      <c r="N200" s="15">
        <f t="shared" ca="1" si="19"/>
        <v>37287</v>
      </c>
      <c r="Z200" s="1"/>
    </row>
    <row r="201" spans="3:26" x14ac:dyDescent="0.2">
      <c r="C201" s="39"/>
      <c r="D201" s="39"/>
      <c r="E201" s="38">
        <f>[2]!expavg($T$9:$T$26,$R$9:$R$26,K201,H201)</f>
        <v>0.67177139323204882</v>
      </c>
      <c r="F201" s="38" t="str">
        <f>[2]!expavg2($T$9:$T$26,I201,J201,$R$9:$R$26)</f>
        <v>ERROR: Please use EndPeriod &lt; BegPeriod.</v>
      </c>
      <c r="H201" s="2">
        <f t="shared" si="16"/>
        <v>13</v>
      </c>
      <c r="I201" s="24">
        <f t="shared" si="20"/>
        <v>9</v>
      </c>
      <c r="J201" s="24">
        <f t="shared" si="21"/>
        <v>14</v>
      </c>
      <c r="K201" s="17">
        <f t="shared" si="17"/>
        <v>-4</v>
      </c>
      <c r="M201" s="15">
        <f t="shared" ca="1" si="18"/>
        <v>39478</v>
      </c>
      <c r="N201" s="15">
        <f t="shared" ca="1" si="19"/>
        <v>37652</v>
      </c>
      <c r="Z201" s="1"/>
    </row>
    <row r="202" spans="3:26" x14ac:dyDescent="0.2">
      <c r="C202" s="39"/>
      <c r="D202" s="39"/>
      <c r="E202" s="38">
        <f>[2]!expavg($T$9:$T$26,$R$9:$R$26,K202,H202)</f>
        <v>0.66945167850810816</v>
      </c>
      <c r="F202" s="38" t="str">
        <f>[2]!expavg2($T$9:$T$26,I202,J202,$R$9:$R$26)</f>
        <v>ERROR: Please use EndPeriod &lt; BegPeriod.</v>
      </c>
      <c r="H202" s="2">
        <f t="shared" si="16"/>
        <v>12</v>
      </c>
      <c r="I202" s="24">
        <f t="shared" si="20"/>
        <v>9</v>
      </c>
      <c r="J202" s="24">
        <f t="shared" si="21"/>
        <v>13</v>
      </c>
      <c r="K202" s="17">
        <f t="shared" si="17"/>
        <v>-3</v>
      </c>
      <c r="M202" s="15">
        <f t="shared" ca="1" si="18"/>
        <v>39478</v>
      </c>
      <c r="N202" s="15">
        <f t="shared" ca="1" si="19"/>
        <v>38017</v>
      </c>
      <c r="Z202" s="1"/>
    </row>
    <row r="203" spans="3:26" x14ac:dyDescent="0.2">
      <c r="C203" s="39"/>
      <c r="D203" s="39"/>
      <c r="E203" s="38">
        <f>[2]!expavg($T$9:$T$26,$R$9:$R$26,K203,H203)</f>
        <v>0.67904388723605558</v>
      </c>
      <c r="F203" s="38" t="str">
        <f>[2]!expavg2($T$9:$T$26,I203,J203,$R$9:$R$26)</f>
        <v>ERROR: Please use EndPeriod &lt; BegPeriod.</v>
      </c>
      <c r="H203" s="2">
        <f t="shared" si="16"/>
        <v>11</v>
      </c>
      <c r="I203" s="24">
        <f t="shared" si="20"/>
        <v>9</v>
      </c>
      <c r="J203" s="24">
        <f t="shared" si="21"/>
        <v>12</v>
      </c>
      <c r="K203" s="17">
        <f t="shared" si="17"/>
        <v>-2</v>
      </c>
      <c r="M203" s="15">
        <f t="shared" ca="1" si="18"/>
        <v>39478</v>
      </c>
      <c r="N203" s="15">
        <f t="shared" ca="1" si="19"/>
        <v>38383</v>
      </c>
      <c r="Z203" s="1"/>
    </row>
    <row r="204" spans="3:26" x14ac:dyDescent="0.2">
      <c r="C204" s="39"/>
      <c r="D204" s="39"/>
      <c r="E204" s="38">
        <f>[2]!expavg($T$9:$T$26,$R$9:$R$26,K204,H204)</f>
        <v>0.68957279758642287</v>
      </c>
      <c r="F204" s="38" t="str">
        <f>[2]!expavg2($T$9:$T$26,I204,J204,$R$9:$R$26)</f>
        <v>ERROR: Please use EndPeriod &lt; BegPeriod.</v>
      </c>
      <c r="H204" s="2">
        <f t="shared" si="16"/>
        <v>10</v>
      </c>
      <c r="I204" s="24">
        <f t="shared" si="20"/>
        <v>9</v>
      </c>
      <c r="J204" s="24">
        <f t="shared" si="21"/>
        <v>11</v>
      </c>
      <c r="K204" s="17">
        <f t="shared" si="17"/>
        <v>-1</v>
      </c>
      <c r="M204" s="15">
        <f t="shared" ca="1" si="18"/>
        <v>39478</v>
      </c>
      <c r="N204" s="15">
        <f t="shared" ca="1" si="19"/>
        <v>38748</v>
      </c>
      <c r="Z204" s="1"/>
    </row>
    <row r="205" spans="3:26" x14ac:dyDescent="0.2">
      <c r="C205" s="39"/>
      <c r="D205" s="39"/>
      <c r="E205" s="38">
        <f>[2]!expavg($T$9:$T$26,$R$9:$R$26,K205,H205)</f>
        <v>0.67160897630855276</v>
      </c>
      <c r="F205" s="38" t="str">
        <f>[2]!expavg2($T$9:$T$26,I205,J205,$R$9:$R$26)</f>
        <v>ERROR: Please use EndPeriod &lt; BegPeriod.</v>
      </c>
      <c r="H205" s="2">
        <f t="shared" si="16"/>
        <v>9</v>
      </c>
      <c r="I205" s="24">
        <f t="shared" si="20"/>
        <v>9</v>
      </c>
      <c r="J205" s="24">
        <f t="shared" si="21"/>
        <v>10</v>
      </c>
      <c r="K205" s="17">
        <f t="shared" si="17"/>
        <v>0</v>
      </c>
      <c r="M205" s="15">
        <f t="shared" ca="1" si="18"/>
        <v>39478</v>
      </c>
      <c r="N205" s="15">
        <f t="shared" ca="1" si="19"/>
        <v>39113</v>
      </c>
      <c r="Z205" s="1"/>
    </row>
    <row r="206" spans="3:26" x14ac:dyDescent="0.2">
      <c r="C206" s="39"/>
      <c r="D206" s="39"/>
      <c r="E206" s="38">
        <f>[2]!expavg($T$9:$T$26,$R$9:$R$26,K206,H206)</f>
        <v>0.61731516591830216</v>
      </c>
      <c r="F206" s="38">
        <f>[2]!expavg2($T$9:$T$26,I206,J206,$R$9:$R$26)</f>
        <v>0.61731516591830216</v>
      </c>
      <c r="H206" s="2">
        <f t="shared" si="16"/>
        <v>8</v>
      </c>
      <c r="I206" s="24">
        <f t="shared" si="20"/>
        <v>9</v>
      </c>
      <c r="J206" s="24">
        <f t="shared" si="21"/>
        <v>9</v>
      </c>
      <c r="K206" s="17">
        <f t="shared" si="17"/>
        <v>1</v>
      </c>
      <c r="M206" s="15">
        <f t="shared" ca="1" si="18"/>
        <v>39478</v>
      </c>
      <c r="N206" s="15">
        <f t="shared" ca="1" si="19"/>
        <v>39478</v>
      </c>
      <c r="Z206" s="1"/>
    </row>
    <row r="207" spans="3:26" x14ac:dyDescent="0.2">
      <c r="C207" s="39"/>
      <c r="D207" s="39"/>
      <c r="E207" s="38">
        <f>[2]!expavg($T$9:$T$26,$R$9:$R$26,K207,H207)</f>
        <v>0.73216299767820836</v>
      </c>
      <c r="F207" s="38">
        <f>[2]!expavg2($T$9:$T$26,I207,J207,$R$9:$R$26)</f>
        <v>0.73216299767820836</v>
      </c>
      <c r="H207" s="2">
        <f t="shared" si="16"/>
        <v>7</v>
      </c>
      <c r="I207" s="24">
        <f t="shared" si="20"/>
        <v>9</v>
      </c>
      <c r="J207" s="24">
        <f t="shared" si="21"/>
        <v>8</v>
      </c>
      <c r="K207" s="17">
        <f t="shared" si="17"/>
        <v>2</v>
      </c>
      <c r="M207" s="15">
        <f t="shared" ca="1" si="18"/>
        <v>39478</v>
      </c>
      <c r="N207" s="15">
        <f t="shared" ca="1" si="19"/>
        <v>39844</v>
      </c>
      <c r="Z207" s="1"/>
    </row>
    <row r="208" spans="3:26" x14ac:dyDescent="0.2">
      <c r="C208" s="39"/>
      <c r="D208" s="39"/>
      <c r="E208" s="38">
        <f>[2]!expavg($T$9:$T$26,$R$9:$R$26,K208,H208)</f>
        <v>0.68747155289469364</v>
      </c>
      <c r="F208" s="38">
        <f>[2]!expavg2($T$9:$T$26,I208,J208,$R$9:$R$26)</f>
        <v>0.68747155289469364</v>
      </c>
      <c r="H208" s="2">
        <f t="shared" si="16"/>
        <v>6</v>
      </c>
      <c r="I208" s="24">
        <f t="shared" si="20"/>
        <v>9</v>
      </c>
      <c r="J208" s="24">
        <f t="shared" si="21"/>
        <v>7</v>
      </c>
      <c r="K208" s="17">
        <f t="shared" si="17"/>
        <v>3</v>
      </c>
      <c r="M208" s="15">
        <f t="shared" ca="1" si="18"/>
        <v>39478</v>
      </c>
      <c r="N208" s="15">
        <f t="shared" ca="1" si="19"/>
        <v>40209</v>
      </c>
      <c r="Z208" s="1"/>
    </row>
    <row r="209" spans="3:26" x14ac:dyDescent="0.2">
      <c r="C209" s="39"/>
      <c r="D209" s="39"/>
      <c r="E209" s="38">
        <f>[2]!expavg($T$9:$T$26,$R$9:$R$26,K209,H209)</f>
        <v>0.6399242976375179</v>
      </c>
      <c r="F209" s="38">
        <f>[2]!expavg2($T$9:$T$26,I209,J209,$R$9:$R$26)</f>
        <v>0.6399242976375179</v>
      </c>
      <c r="H209" s="2">
        <f t="shared" si="16"/>
        <v>5</v>
      </c>
      <c r="I209" s="24">
        <f t="shared" si="20"/>
        <v>9</v>
      </c>
      <c r="J209" s="24">
        <f t="shared" si="21"/>
        <v>6</v>
      </c>
      <c r="K209" s="17">
        <f t="shared" si="17"/>
        <v>4</v>
      </c>
      <c r="M209" s="15">
        <f t="shared" ca="1" si="18"/>
        <v>39478</v>
      </c>
      <c r="N209" s="15">
        <f t="shared" ca="1" si="19"/>
        <v>40574</v>
      </c>
      <c r="Z209" s="1"/>
    </row>
    <row r="210" spans="3:26" x14ac:dyDescent="0.2">
      <c r="C210" s="39"/>
      <c r="D210" s="39"/>
      <c r="E210" s="38">
        <f>[2]!expavg($T$9:$T$26,$R$9:$R$26,K210,H210)</f>
        <v>0.6001569488540115</v>
      </c>
      <c r="F210" s="38">
        <f>[2]!expavg2($T$9:$T$26,I210,J210,$R$9:$R$26)</f>
        <v>0.6001569488540115</v>
      </c>
      <c r="H210" s="2">
        <f t="shared" si="16"/>
        <v>4</v>
      </c>
      <c r="I210" s="24">
        <f t="shared" si="20"/>
        <v>9</v>
      </c>
      <c r="J210" s="24">
        <f t="shared" si="21"/>
        <v>5</v>
      </c>
      <c r="K210" s="17">
        <f t="shared" si="17"/>
        <v>5</v>
      </c>
      <c r="M210" s="15">
        <f t="shared" ca="1" si="18"/>
        <v>39478</v>
      </c>
      <c r="N210" s="15">
        <f t="shared" ca="1" si="19"/>
        <v>40939</v>
      </c>
      <c r="Z210" s="1"/>
    </row>
    <row r="211" spans="3:26" x14ac:dyDescent="0.2">
      <c r="C211" s="39"/>
      <c r="D211" s="39"/>
      <c r="E211" s="38">
        <f>[2]!expavg($T$9:$T$26,$R$9:$R$26,K211,H211)</f>
        <v>0.58161578634409661</v>
      </c>
      <c r="F211" s="38">
        <f>[2]!expavg2($T$9:$T$26,I211,J211,$R$9:$R$26)</f>
        <v>0.58161578634409661</v>
      </c>
      <c r="H211" s="2">
        <f t="shared" si="16"/>
        <v>3</v>
      </c>
      <c r="I211" s="24">
        <f t="shared" si="20"/>
        <v>9</v>
      </c>
      <c r="J211" s="24">
        <f t="shared" si="21"/>
        <v>4</v>
      </c>
      <c r="K211" s="17">
        <f t="shared" si="17"/>
        <v>6</v>
      </c>
      <c r="M211" s="15">
        <f t="shared" ca="1" si="18"/>
        <v>39478</v>
      </c>
      <c r="N211" s="15">
        <f t="shared" ca="1" si="19"/>
        <v>41305</v>
      </c>
      <c r="Z211" s="1"/>
    </row>
    <row r="212" spans="3:26" x14ac:dyDescent="0.2">
      <c r="C212" s="39"/>
      <c r="D212" s="39"/>
      <c r="E212" s="38">
        <f>[2]!expavg($T$9:$T$26,$R$9:$R$26,K212,H212)</f>
        <v>0.57369997888221969</v>
      </c>
      <c r="F212" s="38">
        <f>[2]!expavg2($T$9:$T$26,I212,J212,$R$9:$R$26)</f>
        <v>0.57369997888221969</v>
      </c>
      <c r="H212" s="2">
        <f t="shared" si="16"/>
        <v>2</v>
      </c>
      <c r="I212" s="24">
        <f t="shared" si="20"/>
        <v>9</v>
      </c>
      <c r="J212" s="24">
        <f t="shared" si="21"/>
        <v>3</v>
      </c>
      <c r="K212" s="17">
        <f t="shared" si="17"/>
        <v>7</v>
      </c>
      <c r="M212" s="15">
        <f t="shared" ca="1" si="18"/>
        <v>39478</v>
      </c>
      <c r="N212" s="15">
        <f t="shared" ca="1" si="19"/>
        <v>41670</v>
      </c>
      <c r="Z212" s="1"/>
    </row>
    <row r="213" spans="3:26" x14ac:dyDescent="0.2">
      <c r="C213" s="39"/>
      <c r="D213" s="39"/>
      <c r="E213" s="38">
        <f>[2]!expavg($T$9:$T$26,$R$9:$R$26,K213,H213)</f>
        <v>0.55659971480444337</v>
      </c>
      <c r="F213" s="38">
        <f>[2]!expavg2($T$9:$T$26,I213,J213,$R$9:$R$26)</f>
        <v>0.55659971480444337</v>
      </c>
      <c r="H213" s="2">
        <f t="shared" si="16"/>
        <v>1</v>
      </c>
      <c r="I213" s="24">
        <f t="shared" si="20"/>
        <v>9</v>
      </c>
      <c r="J213" s="24">
        <f t="shared" si="21"/>
        <v>2</v>
      </c>
      <c r="K213" s="17">
        <f t="shared" si="17"/>
        <v>8</v>
      </c>
      <c r="M213" s="15">
        <f t="shared" ca="1" si="18"/>
        <v>39478</v>
      </c>
      <c r="N213" s="15">
        <f t="shared" ca="1" si="19"/>
        <v>42035</v>
      </c>
      <c r="Z213" s="1"/>
    </row>
    <row r="214" spans="3:26" x14ac:dyDescent="0.2">
      <c r="C214" s="39"/>
      <c r="D214" s="39"/>
      <c r="E214" s="38">
        <f>[2]!expavg($T$9:$T$26,$R$9:$R$26,K214,H214)</f>
        <v>0.55634235356712558</v>
      </c>
      <c r="F214" s="38">
        <f>[2]!expavg2($T$9:$T$26,I214,J214,$R$9:$R$26)</f>
        <v>0.55634235356712558</v>
      </c>
      <c r="H214" s="2">
        <f t="shared" si="16"/>
        <v>0</v>
      </c>
      <c r="I214" s="24">
        <f t="shared" si="20"/>
        <v>9</v>
      </c>
      <c r="J214" s="24">
        <f t="shared" si="21"/>
        <v>1</v>
      </c>
      <c r="K214" s="17">
        <f t="shared" si="17"/>
        <v>9</v>
      </c>
      <c r="M214" s="15">
        <f t="shared" ca="1" si="18"/>
        <v>39478</v>
      </c>
      <c r="N214" s="15">
        <f t="shared" ca="1" si="19"/>
        <v>42400</v>
      </c>
      <c r="Z214" s="1"/>
    </row>
    <row r="215" spans="3:26" x14ac:dyDescent="0.2">
      <c r="C215" s="39"/>
      <c r="D215" s="39"/>
      <c r="E215" s="38">
        <f>[2]!expavg($T$9:$T$26,$R$9:$R$26,K215,H215)</f>
        <v>0.55655942567211181</v>
      </c>
      <c r="F215" s="38" t="str">
        <f>[2]!expavg2($T$9:$T$26,I215,J215,$R$9:$R$26)</f>
        <v>ERROR: Please use EndPeriod &gt;= 1.</v>
      </c>
      <c r="H215" s="2">
        <f t="shared" si="16"/>
        <v>-1</v>
      </c>
      <c r="I215" s="24">
        <f t="shared" si="20"/>
        <v>9</v>
      </c>
      <c r="J215" s="24">
        <f t="shared" si="21"/>
        <v>0</v>
      </c>
      <c r="K215" s="17">
        <f t="shared" si="17"/>
        <v>10</v>
      </c>
      <c r="M215" s="15">
        <f t="shared" ca="1" si="18"/>
        <v>39478</v>
      </c>
      <c r="N215" s="15">
        <f t="shared" ca="1" si="19"/>
        <v>0</v>
      </c>
      <c r="Z215" s="1"/>
    </row>
    <row r="216" spans="3:26" x14ac:dyDescent="0.2">
      <c r="C216" s="39"/>
      <c r="D216" s="39"/>
      <c r="E216" s="38">
        <f>[2]!expavg($T$9:$T$26,$R$9:$R$26,K216,H216)</f>
        <v>0.57300774763758144</v>
      </c>
      <c r="F216" s="38" t="str">
        <f>[2]!expavg2($T$9:$T$26,I216,J216,$R$9:$R$26)</f>
        <v>ERROR: Please use EndPeriod &gt;= 1.</v>
      </c>
      <c r="H216" s="2">
        <f t="shared" si="16"/>
        <v>-2</v>
      </c>
      <c r="I216" s="24">
        <f t="shared" si="20"/>
        <v>9</v>
      </c>
      <c r="J216" s="24">
        <f t="shared" si="21"/>
        <v>-1</v>
      </c>
      <c r="K216" s="17">
        <f t="shared" si="17"/>
        <v>11</v>
      </c>
      <c r="M216" s="15">
        <f t="shared" ca="1" si="18"/>
        <v>39478</v>
      </c>
      <c r="N216" s="15">
        <f t="shared" ca="1" si="19"/>
        <v>0</v>
      </c>
      <c r="Z216" s="1"/>
    </row>
    <row r="217" spans="3:26" x14ac:dyDescent="0.2">
      <c r="C217" s="39"/>
      <c r="D217" s="39"/>
      <c r="E217" s="38">
        <f>[2]!expavg($T$9:$T$26,$R$9:$R$26,K217,H217)</f>
        <v>0.70939186407915755</v>
      </c>
      <c r="F217" s="38" t="str">
        <f>[2]!expavg2($T$9:$T$26,I217,J217,$R$9:$R$26)</f>
        <v>ERROR: Please use EndPeriod &lt; BegPeriod.</v>
      </c>
      <c r="H217" s="2">
        <f t="shared" si="16"/>
        <v>14</v>
      </c>
      <c r="I217" s="24">
        <f t="shared" si="20"/>
        <v>8</v>
      </c>
      <c r="J217" s="24">
        <f t="shared" si="21"/>
        <v>15</v>
      </c>
      <c r="K217" s="17">
        <f t="shared" si="17"/>
        <v>-6</v>
      </c>
      <c r="M217" s="15">
        <f t="shared" ca="1" si="18"/>
        <v>39844</v>
      </c>
      <c r="N217" s="15">
        <f t="shared" ca="1" si="19"/>
        <v>37287</v>
      </c>
      <c r="Z217" s="1"/>
    </row>
    <row r="218" spans="3:26" x14ac:dyDescent="0.2">
      <c r="C218" s="39"/>
      <c r="D218" s="39"/>
      <c r="E218" s="38">
        <f>[2]!expavg($T$9:$T$26,$R$9:$R$26,K218,H218)</f>
        <v>0.67177139323204882</v>
      </c>
      <c r="F218" s="38" t="str">
        <f>[2]!expavg2($T$9:$T$26,I218,J218,$R$9:$R$26)</f>
        <v>ERROR: Please use EndPeriod &lt; BegPeriod.</v>
      </c>
      <c r="H218" s="2">
        <f t="shared" si="16"/>
        <v>13</v>
      </c>
      <c r="I218" s="24">
        <f t="shared" si="20"/>
        <v>8</v>
      </c>
      <c r="J218" s="24">
        <f t="shared" si="21"/>
        <v>14</v>
      </c>
      <c r="K218" s="17">
        <f t="shared" si="17"/>
        <v>-5</v>
      </c>
      <c r="M218" s="15">
        <f t="shared" ca="1" si="18"/>
        <v>39844</v>
      </c>
      <c r="N218" s="15">
        <f t="shared" ca="1" si="19"/>
        <v>37652</v>
      </c>
      <c r="Z218" s="1"/>
    </row>
    <row r="219" spans="3:26" x14ac:dyDescent="0.2">
      <c r="C219" s="39"/>
      <c r="D219" s="39"/>
      <c r="E219" s="38">
        <f>[2]!expavg($T$9:$T$26,$R$9:$R$26,K219,H219)</f>
        <v>0.66945167850810816</v>
      </c>
      <c r="F219" s="38" t="str">
        <f>[2]!expavg2($T$9:$T$26,I219,J219,$R$9:$R$26)</f>
        <v>ERROR: Please use EndPeriod &lt; BegPeriod.</v>
      </c>
      <c r="H219" s="2">
        <f t="shared" si="16"/>
        <v>12</v>
      </c>
      <c r="I219" s="24">
        <f t="shared" si="20"/>
        <v>8</v>
      </c>
      <c r="J219" s="24">
        <f t="shared" si="21"/>
        <v>13</v>
      </c>
      <c r="K219" s="17">
        <f t="shared" si="17"/>
        <v>-4</v>
      </c>
      <c r="M219" s="15">
        <f t="shared" ca="1" si="18"/>
        <v>39844</v>
      </c>
      <c r="N219" s="15">
        <f t="shared" ca="1" si="19"/>
        <v>38017</v>
      </c>
      <c r="Z219" s="1"/>
    </row>
    <row r="220" spans="3:26" x14ac:dyDescent="0.2">
      <c r="C220" s="39"/>
      <c r="D220" s="39"/>
      <c r="E220" s="38">
        <f>[2]!expavg($T$9:$T$26,$R$9:$R$26,K220,H220)</f>
        <v>0.67904388723605558</v>
      </c>
      <c r="F220" s="38" t="str">
        <f>[2]!expavg2($T$9:$T$26,I220,J220,$R$9:$R$26)</f>
        <v>ERROR: Please use EndPeriod &lt; BegPeriod.</v>
      </c>
      <c r="H220" s="2">
        <f t="shared" si="16"/>
        <v>11</v>
      </c>
      <c r="I220" s="24">
        <f t="shared" si="20"/>
        <v>8</v>
      </c>
      <c r="J220" s="24">
        <f t="shared" si="21"/>
        <v>12</v>
      </c>
      <c r="K220" s="17">
        <f t="shared" si="17"/>
        <v>-3</v>
      </c>
      <c r="M220" s="15">
        <f t="shared" ca="1" si="18"/>
        <v>39844</v>
      </c>
      <c r="N220" s="15">
        <f t="shared" ca="1" si="19"/>
        <v>38383</v>
      </c>
      <c r="Z220" s="1"/>
    </row>
    <row r="221" spans="3:26" x14ac:dyDescent="0.2">
      <c r="C221" s="39"/>
      <c r="D221" s="39"/>
      <c r="E221" s="38">
        <f>[2]!expavg($T$9:$T$26,$R$9:$R$26,K221,H221)</f>
        <v>0.68957279758642287</v>
      </c>
      <c r="F221" s="38" t="str">
        <f>[2]!expavg2($T$9:$T$26,I221,J221,$R$9:$R$26)</f>
        <v>ERROR: Please use EndPeriod &lt; BegPeriod.</v>
      </c>
      <c r="H221" s="2">
        <f t="shared" si="16"/>
        <v>10</v>
      </c>
      <c r="I221" s="24">
        <f t="shared" si="20"/>
        <v>8</v>
      </c>
      <c r="J221" s="24">
        <f t="shared" si="21"/>
        <v>11</v>
      </c>
      <c r="K221" s="17">
        <f t="shared" si="17"/>
        <v>-2</v>
      </c>
      <c r="M221" s="15">
        <f t="shared" ca="1" si="18"/>
        <v>39844</v>
      </c>
      <c r="N221" s="15">
        <f t="shared" ca="1" si="19"/>
        <v>38748</v>
      </c>
      <c r="Z221" s="1"/>
    </row>
    <row r="222" spans="3:26" x14ac:dyDescent="0.2">
      <c r="C222" s="39"/>
      <c r="D222" s="39"/>
      <c r="E222" s="38">
        <f>[2]!expavg($T$9:$T$26,$R$9:$R$26,K222,H222)</f>
        <v>0.67160897630855276</v>
      </c>
      <c r="F222" s="38" t="str">
        <f>[2]!expavg2($T$9:$T$26,I222,J222,$R$9:$R$26)</f>
        <v>ERROR: Please use EndPeriod &lt; BegPeriod.</v>
      </c>
      <c r="H222" s="2">
        <f t="shared" si="16"/>
        <v>9</v>
      </c>
      <c r="I222" s="24">
        <f t="shared" si="20"/>
        <v>8</v>
      </c>
      <c r="J222" s="24">
        <f t="shared" si="21"/>
        <v>10</v>
      </c>
      <c r="K222" s="17">
        <f t="shared" si="17"/>
        <v>-1</v>
      </c>
      <c r="M222" s="15">
        <f t="shared" ca="1" si="18"/>
        <v>39844</v>
      </c>
      <c r="N222" s="15">
        <f t="shared" ca="1" si="19"/>
        <v>39113</v>
      </c>
      <c r="Z222" s="1"/>
    </row>
    <row r="223" spans="3:26" x14ac:dyDescent="0.2">
      <c r="C223" s="39"/>
      <c r="D223" s="39"/>
      <c r="E223" s="38">
        <f>[2]!expavg($T$9:$T$26,$R$9:$R$26,K223,H223)</f>
        <v>0.66527157980250695</v>
      </c>
      <c r="F223" s="38" t="str">
        <f>[2]!expavg2($T$9:$T$26,I223,J223,$R$9:$R$26)</f>
        <v>ERROR: Please use EndPeriod &lt; BegPeriod.</v>
      </c>
      <c r="H223" s="2">
        <f t="shared" si="16"/>
        <v>8</v>
      </c>
      <c r="I223" s="24">
        <f t="shared" si="20"/>
        <v>8</v>
      </c>
      <c r="J223" s="24">
        <f t="shared" si="21"/>
        <v>9</v>
      </c>
      <c r="K223" s="17">
        <f t="shared" si="17"/>
        <v>0</v>
      </c>
      <c r="M223" s="15">
        <f t="shared" ca="1" si="18"/>
        <v>39844</v>
      </c>
      <c r="N223" s="15">
        <f t="shared" ca="1" si="19"/>
        <v>39478</v>
      </c>
      <c r="Z223" s="1"/>
    </row>
    <row r="224" spans="3:26" x14ac:dyDescent="0.2">
      <c r="C224" s="39"/>
      <c r="D224" s="39"/>
      <c r="E224" s="38">
        <f>[2]!expavg($T$9:$T$26,$R$9:$R$26,K224,H224)</f>
        <v>0.8416844460773909</v>
      </c>
      <c r="F224" s="38">
        <f>[2]!expavg2($T$9:$T$26,I224,J224,$R$9:$R$26)</f>
        <v>0.8416844460773909</v>
      </c>
      <c r="H224" s="2">
        <f t="shared" si="16"/>
        <v>7</v>
      </c>
      <c r="I224" s="24">
        <f t="shared" si="20"/>
        <v>8</v>
      </c>
      <c r="J224" s="24">
        <f t="shared" si="21"/>
        <v>8</v>
      </c>
      <c r="K224" s="17">
        <f t="shared" si="17"/>
        <v>1</v>
      </c>
      <c r="M224" s="15">
        <f t="shared" ca="1" si="18"/>
        <v>39844</v>
      </c>
      <c r="N224" s="15">
        <f t="shared" ca="1" si="19"/>
        <v>39844</v>
      </c>
      <c r="Z224" s="1"/>
    </row>
    <row r="225" spans="3:26" x14ac:dyDescent="0.2">
      <c r="C225" s="39"/>
      <c r="D225" s="39"/>
      <c r="E225" s="38">
        <f>[2]!expavg($T$9:$T$26,$R$9:$R$26,K225,H225)</f>
        <v>0.72006365843105424</v>
      </c>
      <c r="F225" s="38">
        <f>[2]!expavg2($T$9:$T$26,I225,J225,$R$9:$R$26)</f>
        <v>0.72006365843105424</v>
      </c>
      <c r="H225" s="2">
        <f t="shared" si="16"/>
        <v>6</v>
      </c>
      <c r="I225" s="24">
        <f t="shared" si="20"/>
        <v>8</v>
      </c>
      <c r="J225" s="24">
        <f t="shared" si="21"/>
        <v>7</v>
      </c>
      <c r="K225" s="17">
        <f t="shared" si="17"/>
        <v>2</v>
      </c>
      <c r="M225" s="15">
        <f t="shared" ca="1" si="18"/>
        <v>39844</v>
      </c>
      <c r="N225" s="15">
        <f t="shared" ca="1" si="19"/>
        <v>40209</v>
      </c>
      <c r="Z225" s="1"/>
    </row>
    <row r="226" spans="3:26" x14ac:dyDescent="0.2">
      <c r="C226" s="39"/>
      <c r="D226" s="39"/>
      <c r="E226" s="38">
        <f>[2]!expavg($T$9:$T$26,$R$9:$R$26,K226,H226)</f>
        <v>0.64670382566524642</v>
      </c>
      <c r="F226" s="38">
        <f>[2]!expavg2($T$9:$T$26,I226,J226,$R$9:$R$26)</f>
        <v>0.64670382566524642</v>
      </c>
      <c r="H226" s="2">
        <f t="shared" si="16"/>
        <v>5</v>
      </c>
      <c r="I226" s="24">
        <f t="shared" si="20"/>
        <v>8</v>
      </c>
      <c r="J226" s="24">
        <f t="shared" si="21"/>
        <v>6</v>
      </c>
      <c r="K226" s="17">
        <f t="shared" si="17"/>
        <v>3</v>
      </c>
      <c r="M226" s="15">
        <f t="shared" ca="1" si="18"/>
        <v>39844</v>
      </c>
      <c r="N226" s="15">
        <f t="shared" ca="1" si="19"/>
        <v>40574</v>
      </c>
      <c r="Z226" s="1"/>
    </row>
    <row r="227" spans="3:26" x14ac:dyDescent="0.2">
      <c r="C227" s="39"/>
      <c r="D227" s="39"/>
      <c r="E227" s="38">
        <f>[2]!expavg($T$9:$T$26,$R$9:$R$26,K227,H227)</f>
        <v>0.59661266058249685</v>
      </c>
      <c r="F227" s="38">
        <f>[2]!expavg2($T$9:$T$26,I227,J227,$R$9:$R$26)</f>
        <v>0.59661266058249685</v>
      </c>
      <c r="H227" s="2">
        <f t="shared" si="16"/>
        <v>4</v>
      </c>
      <c r="I227" s="24">
        <f t="shared" si="20"/>
        <v>8</v>
      </c>
      <c r="J227" s="24">
        <f t="shared" si="21"/>
        <v>5</v>
      </c>
      <c r="K227" s="17">
        <f t="shared" si="17"/>
        <v>4</v>
      </c>
      <c r="M227" s="15">
        <f t="shared" ca="1" si="18"/>
        <v>39844</v>
      </c>
      <c r="N227" s="15">
        <f t="shared" ca="1" si="19"/>
        <v>40939</v>
      </c>
      <c r="Z227" s="1"/>
    </row>
    <row r="228" spans="3:26" x14ac:dyDescent="0.2">
      <c r="C228" s="39"/>
      <c r="D228" s="39"/>
      <c r="E228" s="38">
        <f>[2]!expavg($T$9:$T$26,$R$9:$R$26,K228,H228)</f>
        <v>0.57573023063551787</v>
      </c>
      <c r="F228" s="38">
        <f>[2]!expavg2($T$9:$T$26,I228,J228,$R$9:$R$26)</f>
        <v>0.57573023063551787</v>
      </c>
      <c r="H228" s="2">
        <f t="shared" ref="H228:H291" si="22">J228-1</f>
        <v>3</v>
      </c>
      <c r="I228" s="24">
        <f t="shared" si="20"/>
        <v>8</v>
      </c>
      <c r="J228" s="24">
        <f t="shared" si="21"/>
        <v>4</v>
      </c>
      <c r="K228" s="17">
        <f t="shared" ref="K228:K291" si="23">I228-J228+1</f>
        <v>5</v>
      </c>
      <c r="M228" s="15">
        <f t="shared" ref="M228:M291" ca="1" si="24">OFFSET($P$27,-I228,0)</f>
        <v>39844</v>
      </c>
      <c r="N228" s="15">
        <f t="shared" ref="N228:N291" ca="1" si="25">OFFSET($P$27,-J228,0)</f>
        <v>41305</v>
      </c>
      <c r="Z228" s="1"/>
    </row>
    <row r="229" spans="3:26" x14ac:dyDescent="0.2">
      <c r="C229" s="39"/>
      <c r="D229" s="39"/>
      <c r="E229" s="38">
        <f>[2]!expavg($T$9:$T$26,$R$9:$R$26,K229,H229)</f>
        <v>0.56772119175493341</v>
      </c>
      <c r="F229" s="38">
        <f>[2]!expavg2($T$9:$T$26,I229,J229,$R$9:$R$26)</f>
        <v>0.56772119175493341</v>
      </c>
      <c r="H229" s="2">
        <f t="shared" si="22"/>
        <v>2</v>
      </c>
      <c r="I229" s="24">
        <f t="shared" si="20"/>
        <v>8</v>
      </c>
      <c r="J229" s="24">
        <f t="shared" si="21"/>
        <v>3</v>
      </c>
      <c r="K229" s="17">
        <f t="shared" si="23"/>
        <v>6</v>
      </c>
      <c r="M229" s="15">
        <f t="shared" ca="1" si="24"/>
        <v>39844</v>
      </c>
      <c r="N229" s="15">
        <f t="shared" ca="1" si="25"/>
        <v>41670</v>
      </c>
      <c r="Z229" s="1"/>
    </row>
    <row r="230" spans="3:26" x14ac:dyDescent="0.2">
      <c r="C230" s="39"/>
      <c r="D230" s="39"/>
      <c r="E230" s="38">
        <f>[2]!expavg($T$9:$T$26,$R$9:$R$26,K230,H230)</f>
        <v>0.54947584892707557</v>
      </c>
      <c r="F230" s="38">
        <f>[2]!expavg2($T$9:$T$26,I230,J230,$R$9:$R$26)</f>
        <v>0.54947584892707557</v>
      </c>
      <c r="H230" s="2">
        <f t="shared" si="22"/>
        <v>1</v>
      </c>
      <c r="I230" s="24">
        <f t="shared" si="20"/>
        <v>8</v>
      </c>
      <c r="J230" s="24">
        <f t="shared" si="21"/>
        <v>2</v>
      </c>
      <c r="K230" s="17">
        <f t="shared" si="23"/>
        <v>7</v>
      </c>
      <c r="M230" s="15">
        <f t="shared" ca="1" si="24"/>
        <v>39844</v>
      </c>
      <c r="N230" s="15">
        <f t="shared" ca="1" si="25"/>
        <v>42035</v>
      </c>
      <c r="Z230" s="1"/>
    </row>
    <row r="231" spans="3:26" x14ac:dyDescent="0.2">
      <c r="C231" s="39"/>
      <c r="D231" s="39"/>
      <c r="E231" s="38">
        <f>[2]!expavg($T$9:$T$26,$R$9:$R$26,K231,H231)</f>
        <v>0.54989878004436588</v>
      </c>
      <c r="F231" s="38">
        <f>[2]!expavg2($T$9:$T$26,I231,J231,$R$9:$R$26)</f>
        <v>0.54989878004436588</v>
      </c>
      <c r="H231" s="2">
        <f t="shared" si="22"/>
        <v>0</v>
      </c>
      <c r="I231" s="24">
        <f t="shared" si="20"/>
        <v>8</v>
      </c>
      <c r="J231" s="24">
        <f t="shared" si="21"/>
        <v>1</v>
      </c>
      <c r="K231" s="17">
        <f t="shared" si="23"/>
        <v>8</v>
      </c>
      <c r="M231" s="15">
        <f t="shared" ca="1" si="24"/>
        <v>39844</v>
      </c>
      <c r="N231" s="15">
        <f t="shared" ca="1" si="25"/>
        <v>42400</v>
      </c>
      <c r="Z231" s="1"/>
    </row>
    <row r="232" spans="3:26" x14ac:dyDescent="0.2">
      <c r="C232" s="39"/>
      <c r="D232" s="39"/>
      <c r="E232" s="38">
        <f>[2]!expavg($T$9:$T$26,$R$9:$R$26,K232,H232)</f>
        <v>0.55634235356712558</v>
      </c>
      <c r="F232" s="38" t="str">
        <f>[2]!expavg2($T$9:$T$26,I232,J232,$R$9:$R$26)</f>
        <v>ERROR: Please use EndPeriod &gt;= 1.</v>
      </c>
      <c r="H232" s="2">
        <f t="shared" si="22"/>
        <v>-1</v>
      </c>
      <c r="I232" s="24">
        <f t="shared" si="20"/>
        <v>8</v>
      </c>
      <c r="J232" s="24">
        <f t="shared" si="21"/>
        <v>0</v>
      </c>
      <c r="K232" s="17">
        <f t="shared" si="23"/>
        <v>9</v>
      </c>
      <c r="M232" s="15">
        <f t="shared" ca="1" si="24"/>
        <v>39844</v>
      </c>
      <c r="N232" s="15">
        <f t="shared" ca="1" si="25"/>
        <v>0</v>
      </c>
      <c r="Z232" s="1"/>
    </row>
    <row r="233" spans="3:26" x14ac:dyDescent="0.2">
      <c r="C233" s="39"/>
      <c r="D233" s="39"/>
      <c r="E233" s="38">
        <f>[2]!expavg($T$9:$T$26,$R$9:$R$26,K233,H233)</f>
        <v>0.55655942567211181</v>
      </c>
      <c r="F233" s="38" t="str">
        <f>[2]!expavg2($T$9:$T$26,I233,J233,$R$9:$R$26)</f>
        <v>ERROR: Please use EndPeriod &gt;= 1.</v>
      </c>
      <c r="H233" s="2">
        <f t="shared" si="22"/>
        <v>-2</v>
      </c>
      <c r="I233" s="24">
        <f t="shared" si="20"/>
        <v>8</v>
      </c>
      <c r="J233" s="24">
        <f t="shared" si="21"/>
        <v>-1</v>
      </c>
      <c r="K233" s="17">
        <f t="shared" si="23"/>
        <v>10</v>
      </c>
      <c r="M233" s="15">
        <f t="shared" ca="1" si="24"/>
        <v>39844</v>
      </c>
      <c r="N233" s="15">
        <f t="shared" ca="1" si="25"/>
        <v>0</v>
      </c>
      <c r="Z233" s="1"/>
    </row>
    <row r="234" spans="3:26" x14ac:dyDescent="0.2">
      <c r="C234" s="39"/>
      <c r="D234" s="39"/>
      <c r="E234" s="38">
        <f>[2]!expavg($T$9:$T$26,$R$9:$R$26,K234,H234)</f>
        <v>0.70939186407915755</v>
      </c>
      <c r="F234" s="38" t="str">
        <f>[2]!expavg2($T$9:$T$26,I234,J234,$R$9:$R$26)</f>
        <v>ERROR: Please use EndPeriod &lt; BegPeriod.</v>
      </c>
      <c r="H234" s="2">
        <f t="shared" si="22"/>
        <v>14</v>
      </c>
      <c r="I234" s="24">
        <f t="shared" si="20"/>
        <v>7</v>
      </c>
      <c r="J234" s="24">
        <f t="shared" si="21"/>
        <v>15</v>
      </c>
      <c r="K234" s="17">
        <f t="shared" si="23"/>
        <v>-7</v>
      </c>
      <c r="M234" s="15">
        <f t="shared" ca="1" si="24"/>
        <v>40209</v>
      </c>
      <c r="N234" s="15">
        <f t="shared" ca="1" si="25"/>
        <v>37287</v>
      </c>
      <c r="Z234" s="1"/>
    </row>
    <row r="235" spans="3:26" x14ac:dyDescent="0.2">
      <c r="C235" s="39"/>
      <c r="D235" s="39"/>
      <c r="E235" s="38">
        <f>[2]!expavg($T$9:$T$26,$R$9:$R$26,K235,H235)</f>
        <v>0.67177139323204882</v>
      </c>
      <c r="F235" s="38" t="str">
        <f>[2]!expavg2($T$9:$T$26,I235,J235,$R$9:$R$26)</f>
        <v>ERROR: Please use EndPeriod &lt; BegPeriod.</v>
      </c>
      <c r="H235" s="2">
        <f t="shared" si="22"/>
        <v>13</v>
      </c>
      <c r="I235" s="24">
        <f t="shared" si="20"/>
        <v>7</v>
      </c>
      <c r="J235" s="24">
        <f t="shared" si="21"/>
        <v>14</v>
      </c>
      <c r="K235" s="17">
        <f t="shared" si="23"/>
        <v>-6</v>
      </c>
      <c r="M235" s="15">
        <f t="shared" ca="1" si="24"/>
        <v>40209</v>
      </c>
      <c r="N235" s="15">
        <f t="shared" ca="1" si="25"/>
        <v>37652</v>
      </c>
      <c r="Z235" s="1"/>
    </row>
    <row r="236" spans="3:26" x14ac:dyDescent="0.2">
      <c r="C236" s="39"/>
      <c r="D236" s="39"/>
      <c r="E236" s="38">
        <f>[2]!expavg($T$9:$T$26,$R$9:$R$26,K236,H236)</f>
        <v>0.66945167850810816</v>
      </c>
      <c r="F236" s="38" t="str">
        <f>[2]!expavg2($T$9:$T$26,I236,J236,$R$9:$R$26)</f>
        <v>ERROR: Please use EndPeriod &lt; BegPeriod.</v>
      </c>
      <c r="H236" s="2">
        <f t="shared" si="22"/>
        <v>12</v>
      </c>
      <c r="I236" s="24">
        <f t="shared" si="20"/>
        <v>7</v>
      </c>
      <c r="J236" s="24">
        <f t="shared" si="21"/>
        <v>13</v>
      </c>
      <c r="K236" s="17">
        <f t="shared" si="23"/>
        <v>-5</v>
      </c>
      <c r="M236" s="15">
        <f t="shared" ca="1" si="24"/>
        <v>40209</v>
      </c>
      <c r="N236" s="15">
        <f t="shared" ca="1" si="25"/>
        <v>38017</v>
      </c>
      <c r="Z236" s="1"/>
    </row>
    <row r="237" spans="3:26" x14ac:dyDescent="0.2">
      <c r="C237" s="39"/>
      <c r="D237" s="39"/>
      <c r="E237" s="38">
        <f>[2]!expavg($T$9:$T$26,$R$9:$R$26,K237,H237)</f>
        <v>0.67904388723605558</v>
      </c>
      <c r="F237" s="38" t="str">
        <f>[2]!expavg2($T$9:$T$26,I237,J237,$R$9:$R$26)</f>
        <v>ERROR: Please use EndPeriod &lt; BegPeriod.</v>
      </c>
      <c r="H237" s="2">
        <f t="shared" si="22"/>
        <v>11</v>
      </c>
      <c r="I237" s="24">
        <f t="shared" si="20"/>
        <v>7</v>
      </c>
      <c r="J237" s="24">
        <f t="shared" si="21"/>
        <v>12</v>
      </c>
      <c r="K237" s="17">
        <f t="shared" si="23"/>
        <v>-4</v>
      </c>
      <c r="M237" s="15">
        <f t="shared" ca="1" si="24"/>
        <v>40209</v>
      </c>
      <c r="N237" s="15">
        <f t="shared" ca="1" si="25"/>
        <v>38383</v>
      </c>
      <c r="Z237" s="1"/>
    </row>
    <row r="238" spans="3:26" x14ac:dyDescent="0.2">
      <c r="C238" s="39"/>
      <c r="D238" s="39"/>
      <c r="E238" s="38">
        <f>[2]!expavg($T$9:$T$26,$R$9:$R$26,K238,H238)</f>
        <v>0.68957279758642287</v>
      </c>
      <c r="F238" s="38" t="str">
        <f>[2]!expavg2($T$9:$T$26,I238,J238,$R$9:$R$26)</f>
        <v>ERROR: Please use EndPeriod &lt; BegPeriod.</v>
      </c>
      <c r="H238" s="2">
        <f t="shared" si="22"/>
        <v>10</v>
      </c>
      <c r="I238" s="24">
        <f t="shared" si="20"/>
        <v>7</v>
      </c>
      <c r="J238" s="24">
        <f t="shared" si="21"/>
        <v>11</v>
      </c>
      <c r="K238" s="17">
        <f t="shared" si="23"/>
        <v>-3</v>
      </c>
      <c r="M238" s="15">
        <f t="shared" ca="1" si="24"/>
        <v>40209</v>
      </c>
      <c r="N238" s="15">
        <f t="shared" ca="1" si="25"/>
        <v>38748</v>
      </c>
      <c r="Z238" s="1"/>
    </row>
    <row r="239" spans="3:26" x14ac:dyDescent="0.2">
      <c r="C239" s="39"/>
      <c r="D239" s="39"/>
      <c r="E239" s="38">
        <f>[2]!expavg($T$9:$T$26,$R$9:$R$26,K239,H239)</f>
        <v>0.67160897630855276</v>
      </c>
      <c r="F239" s="38" t="str">
        <f>[2]!expavg2($T$9:$T$26,I239,J239,$R$9:$R$26)</f>
        <v>ERROR: Please use EndPeriod &lt; BegPeriod.</v>
      </c>
      <c r="H239" s="2">
        <f t="shared" si="22"/>
        <v>9</v>
      </c>
      <c r="I239" s="24">
        <f t="shared" si="20"/>
        <v>7</v>
      </c>
      <c r="J239" s="24">
        <f t="shared" si="21"/>
        <v>10</v>
      </c>
      <c r="K239" s="17">
        <f t="shared" si="23"/>
        <v>-2</v>
      </c>
      <c r="M239" s="15">
        <f t="shared" ca="1" si="24"/>
        <v>40209</v>
      </c>
      <c r="N239" s="15">
        <f t="shared" ca="1" si="25"/>
        <v>39113</v>
      </c>
      <c r="Z239" s="1"/>
    </row>
    <row r="240" spans="3:26" x14ac:dyDescent="0.2">
      <c r="C240" s="39"/>
      <c r="D240" s="39"/>
      <c r="E240" s="38">
        <f>[2]!expavg($T$9:$T$26,$R$9:$R$26,K240,H240)</f>
        <v>0.66527157980250695</v>
      </c>
      <c r="F240" s="38" t="str">
        <f>[2]!expavg2($T$9:$T$26,I240,J240,$R$9:$R$26)</f>
        <v>ERROR: Please use EndPeriod &lt; BegPeriod.</v>
      </c>
      <c r="H240" s="2">
        <f t="shared" si="22"/>
        <v>8</v>
      </c>
      <c r="I240" s="24">
        <f t="shared" si="20"/>
        <v>7</v>
      </c>
      <c r="J240" s="24">
        <f t="shared" si="21"/>
        <v>9</v>
      </c>
      <c r="K240" s="17">
        <f t="shared" si="23"/>
        <v>-1</v>
      </c>
      <c r="M240" s="15">
        <f t="shared" ca="1" si="24"/>
        <v>40209</v>
      </c>
      <c r="N240" s="15">
        <f t="shared" ca="1" si="25"/>
        <v>39478</v>
      </c>
      <c r="Z240" s="1"/>
    </row>
    <row r="241" spans="3:26" x14ac:dyDescent="0.2">
      <c r="C241" s="39"/>
      <c r="D241" s="39"/>
      <c r="E241" s="38">
        <f>[2]!expavg($T$9:$T$26,$R$9:$R$26,K241,H241)</f>
        <v>0.68450987024306864</v>
      </c>
      <c r="F241" s="38" t="str">
        <f>[2]!expavg2($T$9:$T$26,I241,J241,$R$9:$R$26)</f>
        <v>ERROR: Please use EndPeriod &lt; BegPeriod.</v>
      </c>
      <c r="H241" s="2">
        <f t="shared" si="22"/>
        <v>7</v>
      </c>
      <c r="I241" s="24">
        <f t="shared" si="20"/>
        <v>7</v>
      </c>
      <c r="J241" s="24">
        <f t="shared" si="21"/>
        <v>8</v>
      </c>
      <c r="K241" s="17">
        <f t="shared" si="23"/>
        <v>0</v>
      </c>
      <c r="M241" s="15">
        <f t="shared" ca="1" si="24"/>
        <v>40209</v>
      </c>
      <c r="N241" s="15">
        <f t="shared" ca="1" si="25"/>
        <v>39844</v>
      </c>
      <c r="Z241" s="1"/>
    </row>
    <row r="242" spans="3:26" x14ac:dyDescent="0.2">
      <c r="C242" s="39"/>
      <c r="D242" s="39"/>
      <c r="E242" s="38">
        <f>[2]!expavg($T$9:$T$26,$R$9:$R$26,K242,H242)</f>
        <v>0.60453437275206079</v>
      </c>
      <c r="F242" s="38">
        <f>[2]!expavg2($T$9:$T$26,I242,J242,$R$9:$R$26)</f>
        <v>0.60453437275206079</v>
      </c>
      <c r="H242" s="2">
        <f t="shared" si="22"/>
        <v>6</v>
      </c>
      <c r="I242" s="24">
        <f t="shared" si="20"/>
        <v>7</v>
      </c>
      <c r="J242" s="24">
        <f t="shared" si="21"/>
        <v>7</v>
      </c>
      <c r="K242" s="17">
        <f t="shared" si="23"/>
        <v>1</v>
      </c>
      <c r="M242" s="15">
        <f t="shared" ca="1" si="24"/>
        <v>40209</v>
      </c>
      <c r="N242" s="15">
        <f t="shared" ca="1" si="25"/>
        <v>40209</v>
      </c>
      <c r="Z242" s="1"/>
    </row>
    <row r="243" spans="3:26" x14ac:dyDescent="0.2">
      <c r="C243" s="39"/>
      <c r="D243" s="39"/>
      <c r="E243" s="38">
        <f>[2]!expavg($T$9:$T$26,$R$9:$R$26,K243,H243)</f>
        <v>0.55727329182310037</v>
      </c>
      <c r="F243" s="38">
        <f>[2]!expavg2($T$9:$T$26,I243,J243,$R$9:$R$26)</f>
        <v>0.55727329182310037</v>
      </c>
      <c r="H243" s="2">
        <f t="shared" si="22"/>
        <v>5</v>
      </c>
      <c r="I243" s="24">
        <f t="shared" si="20"/>
        <v>7</v>
      </c>
      <c r="J243" s="24">
        <f t="shared" si="21"/>
        <v>6</v>
      </c>
      <c r="K243" s="17">
        <f t="shared" si="23"/>
        <v>2</v>
      </c>
      <c r="M243" s="15">
        <f t="shared" ca="1" si="24"/>
        <v>40209</v>
      </c>
      <c r="N243" s="15">
        <f t="shared" ca="1" si="25"/>
        <v>40574</v>
      </c>
      <c r="Z243" s="1"/>
    </row>
    <row r="244" spans="3:26" x14ac:dyDescent="0.2">
      <c r="C244" s="39"/>
      <c r="D244" s="39"/>
      <c r="E244" s="38">
        <f>[2]!expavg($T$9:$T$26,$R$9:$R$26,K244,H244)</f>
        <v>0.52884907995736841</v>
      </c>
      <c r="F244" s="38">
        <f>[2]!expavg2($T$9:$T$26,I244,J244,$R$9:$R$26)</f>
        <v>0.52884907995736841</v>
      </c>
      <c r="H244" s="2">
        <f t="shared" si="22"/>
        <v>4</v>
      </c>
      <c r="I244" s="24">
        <f t="shared" ref="I244:I307" si="26">I227-1</f>
        <v>7</v>
      </c>
      <c r="J244" s="24">
        <f t="shared" ref="J244:J307" si="27">J227</f>
        <v>5</v>
      </c>
      <c r="K244" s="17">
        <f t="shared" si="23"/>
        <v>3</v>
      </c>
      <c r="M244" s="15">
        <f t="shared" ca="1" si="24"/>
        <v>40209</v>
      </c>
      <c r="N244" s="15">
        <f t="shared" ca="1" si="25"/>
        <v>40939</v>
      </c>
      <c r="Z244" s="1"/>
    </row>
    <row r="245" spans="3:26" x14ac:dyDescent="0.2">
      <c r="C245" s="39"/>
      <c r="D245" s="39"/>
      <c r="E245" s="38">
        <f>[2]!expavg($T$9:$T$26,$R$9:$R$26,K245,H245)</f>
        <v>0.52014108872407439</v>
      </c>
      <c r="F245" s="38">
        <f>[2]!expavg2($T$9:$T$26,I245,J245,$R$9:$R$26)</f>
        <v>0.52014108872407439</v>
      </c>
      <c r="H245" s="2">
        <f t="shared" si="22"/>
        <v>3</v>
      </c>
      <c r="I245" s="24">
        <f t="shared" si="26"/>
        <v>7</v>
      </c>
      <c r="J245" s="24">
        <f t="shared" si="27"/>
        <v>4</v>
      </c>
      <c r="K245" s="17">
        <f t="shared" si="23"/>
        <v>4</v>
      </c>
      <c r="M245" s="15">
        <f t="shared" ca="1" si="24"/>
        <v>40209</v>
      </c>
      <c r="N245" s="15">
        <f t="shared" ca="1" si="25"/>
        <v>41305</v>
      </c>
      <c r="Z245" s="1"/>
    </row>
    <row r="246" spans="3:26" x14ac:dyDescent="0.2">
      <c r="C246" s="39"/>
      <c r="D246" s="39"/>
      <c r="E246" s="38">
        <f>[2]!expavg($T$9:$T$26,$R$9:$R$26,K246,H246)</f>
        <v>0.52172845903313836</v>
      </c>
      <c r="F246" s="38">
        <f>[2]!expavg2($T$9:$T$26,I246,J246,$R$9:$R$26)</f>
        <v>0.52172845903313836</v>
      </c>
      <c r="H246" s="2">
        <f t="shared" si="22"/>
        <v>2</v>
      </c>
      <c r="I246" s="24">
        <f t="shared" si="26"/>
        <v>7</v>
      </c>
      <c r="J246" s="24">
        <f t="shared" si="27"/>
        <v>3</v>
      </c>
      <c r="K246" s="17">
        <f t="shared" si="23"/>
        <v>5</v>
      </c>
      <c r="M246" s="15">
        <f t="shared" ca="1" si="24"/>
        <v>40209</v>
      </c>
      <c r="N246" s="15">
        <f t="shared" ca="1" si="25"/>
        <v>41670</v>
      </c>
      <c r="Z246" s="1"/>
    </row>
    <row r="247" spans="3:26" x14ac:dyDescent="0.2">
      <c r="C247" s="39"/>
      <c r="D247" s="39"/>
      <c r="E247" s="38">
        <f>[2]!expavg($T$9:$T$26,$R$9:$R$26,K247,H247)</f>
        <v>0.50847881231765724</v>
      </c>
      <c r="F247" s="38">
        <f>[2]!expavg2($T$9:$T$26,I247,J247,$R$9:$R$26)</f>
        <v>0.50847881231765724</v>
      </c>
      <c r="H247" s="2">
        <f t="shared" si="22"/>
        <v>1</v>
      </c>
      <c r="I247" s="24">
        <f t="shared" si="26"/>
        <v>7</v>
      </c>
      <c r="J247" s="24">
        <f t="shared" si="27"/>
        <v>2</v>
      </c>
      <c r="K247" s="17">
        <f t="shared" si="23"/>
        <v>6</v>
      </c>
      <c r="M247" s="15">
        <f t="shared" ca="1" si="24"/>
        <v>40209</v>
      </c>
      <c r="N247" s="15">
        <f t="shared" ca="1" si="25"/>
        <v>42035</v>
      </c>
      <c r="Z247" s="1"/>
    </row>
    <row r="248" spans="3:26" x14ac:dyDescent="0.2">
      <c r="C248" s="39"/>
      <c r="D248" s="39"/>
      <c r="E248" s="38">
        <f>[2]!expavg($T$9:$T$26,$R$9:$R$26,K248,H248)</f>
        <v>0.51353341456203094</v>
      </c>
      <c r="F248" s="38">
        <f>[2]!expavg2($T$9:$T$26,I248,J248,$R$9:$R$26)</f>
        <v>0.51353341456203094</v>
      </c>
      <c r="H248" s="2">
        <f t="shared" si="22"/>
        <v>0</v>
      </c>
      <c r="I248" s="24">
        <f t="shared" si="26"/>
        <v>7</v>
      </c>
      <c r="J248" s="24">
        <f t="shared" si="27"/>
        <v>1</v>
      </c>
      <c r="K248" s="17">
        <f t="shared" si="23"/>
        <v>7</v>
      </c>
      <c r="M248" s="15">
        <f t="shared" ca="1" si="24"/>
        <v>40209</v>
      </c>
      <c r="N248" s="15">
        <f t="shared" ca="1" si="25"/>
        <v>42400</v>
      </c>
      <c r="Z248" s="1"/>
    </row>
    <row r="249" spans="3:26" x14ac:dyDescent="0.2">
      <c r="C249" s="39"/>
      <c r="D249" s="39"/>
      <c r="E249" s="38">
        <f>[2]!expavg($T$9:$T$26,$R$9:$R$26,K249,H249)</f>
        <v>0.54989878004436588</v>
      </c>
      <c r="F249" s="38" t="str">
        <f>[2]!expavg2($T$9:$T$26,I249,J249,$R$9:$R$26)</f>
        <v>ERROR: Please use EndPeriod &gt;= 1.</v>
      </c>
      <c r="H249" s="2">
        <f t="shared" si="22"/>
        <v>-1</v>
      </c>
      <c r="I249" s="24">
        <f t="shared" si="26"/>
        <v>7</v>
      </c>
      <c r="J249" s="24">
        <f t="shared" si="27"/>
        <v>0</v>
      </c>
      <c r="K249" s="17">
        <f t="shared" si="23"/>
        <v>8</v>
      </c>
      <c r="M249" s="15">
        <f t="shared" ca="1" si="24"/>
        <v>40209</v>
      </c>
      <c r="N249" s="15">
        <f t="shared" ca="1" si="25"/>
        <v>0</v>
      </c>
      <c r="Z249" s="1"/>
    </row>
    <row r="250" spans="3:26" x14ac:dyDescent="0.2">
      <c r="C250" s="39"/>
      <c r="D250" s="39"/>
      <c r="E250" s="38">
        <f>[2]!expavg($T$9:$T$26,$R$9:$R$26,K250,H250)</f>
        <v>0.55634235356712558</v>
      </c>
      <c r="F250" s="38" t="str">
        <f>[2]!expavg2($T$9:$T$26,I250,J250,$R$9:$R$26)</f>
        <v>ERROR: Please use EndPeriod &gt;= 1.</v>
      </c>
      <c r="H250" s="2">
        <f t="shared" si="22"/>
        <v>-2</v>
      </c>
      <c r="I250" s="24">
        <f t="shared" si="26"/>
        <v>7</v>
      </c>
      <c r="J250" s="24">
        <f t="shared" si="27"/>
        <v>-1</v>
      </c>
      <c r="K250" s="17">
        <f t="shared" si="23"/>
        <v>9</v>
      </c>
      <c r="M250" s="15">
        <f t="shared" ca="1" si="24"/>
        <v>40209</v>
      </c>
      <c r="N250" s="15">
        <f t="shared" ca="1" si="25"/>
        <v>0</v>
      </c>
      <c r="Z250" s="1"/>
    </row>
    <row r="251" spans="3:26" x14ac:dyDescent="0.2">
      <c r="C251" s="39"/>
      <c r="D251" s="39"/>
      <c r="E251" s="38">
        <f>[2]!expavg($T$9:$T$26,$R$9:$R$26,K251,H251)</f>
        <v>0.70939186407915755</v>
      </c>
      <c r="F251" s="38" t="str">
        <f>[2]!expavg2($T$9:$T$26,I251,J251,$R$9:$R$26)</f>
        <v>ERROR: Please use EndPeriod &lt; BegPeriod.</v>
      </c>
      <c r="H251" s="2">
        <f t="shared" si="22"/>
        <v>14</v>
      </c>
      <c r="I251" s="24">
        <f t="shared" si="26"/>
        <v>6</v>
      </c>
      <c r="J251" s="24">
        <f t="shared" si="27"/>
        <v>15</v>
      </c>
      <c r="K251" s="17">
        <f t="shared" si="23"/>
        <v>-8</v>
      </c>
      <c r="M251" s="15">
        <f t="shared" ca="1" si="24"/>
        <v>40574</v>
      </c>
      <c r="N251" s="15">
        <f t="shared" ca="1" si="25"/>
        <v>37287</v>
      </c>
      <c r="Z251" s="1"/>
    </row>
    <row r="252" spans="3:26" x14ac:dyDescent="0.2">
      <c r="C252" s="39"/>
      <c r="D252" s="39"/>
      <c r="E252" s="38">
        <f>[2]!expavg($T$9:$T$26,$R$9:$R$26,K252,H252)</f>
        <v>0.67177139323204882</v>
      </c>
      <c r="F252" s="38" t="str">
        <f>[2]!expavg2($T$9:$T$26,I252,J252,$R$9:$R$26)</f>
        <v>ERROR: Please use EndPeriod &lt; BegPeriod.</v>
      </c>
      <c r="H252" s="2">
        <f t="shared" si="22"/>
        <v>13</v>
      </c>
      <c r="I252" s="24">
        <f t="shared" si="26"/>
        <v>6</v>
      </c>
      <c r="J252" s="24">
        <f t="shared" si="27"/>
        <v>14</v>
      </c>
      <c r="K252" s="17">
        <f t="shared" si="23"/>
        <v>-7</v>
      </c>
      <c r="M252" s="15">
        <f t="shared" ca="1" si="24"/>
        <v>40574</v>
      </c>
      <c r="N252" s="15">
        <f t="shared" ca="1" si="25"/>
        <v>37652</v>
      </c>
      <c r="Z252" s="1"/>
    </row>
    <row r="253" spans="3:26" x14ac:dyDescent="0.2">
      <c r="C253" s="39"/>
      <c r="D253" s="39"/>
      <c r="E253" s="38">
        <f>[2]!expavg($T$9:$T$26,$R$9:$R$26,K253,H253)</f>
        <v>0.66945167850810816</v>
      </c>
      <c r="F253" s="38" t="str">
        <f>[2]!expavg2($T$9:$T$26,I253,J253,$R$9:$R$26)</f>
        <v>ERROR: Please use EndPeriod &lt; BegPeriod.</v>
      </c>
      <c r="H253" s="2">
        <f t="shared" si="22"/>
        <v>12</v>
      </c>
      <c r="I253" s="24">
        <f t="shared" si="26"/>
        <v>6</v>
      </c>
      <c r="J253" s="24">
        <f t="shared" si="27"/>
        <v>13</v>
      </c>
      <c r="K253" s="17">
        <f t="shared" si="23"/>
        <v>-6</v>
      </c>
      <c r="M253" s="15">
        <f t="shared" ca="1" si="24"/>
        <v>40574</v>
      </c>
      <c r="N253" s="15">
        <f t="shared" ca="1" si="25"/>
        <v>38017</v>
      </c>
      <c r="Z253" s="1"/>
    </row>
    <row r="254" spans="3:26" x14ac:dyDescent="0.2">
      <c r="C254" s="39"/>
      <c r="D254" s="39"/>
      <c r="E254" s="38">
        <f>[2]!expavg($T$9:$T$26,$R$9:$R$26,K254,H254)</f>
        <v>0.67904388723605558</v>
      </c>
      <c r="F254" s="38" t="str">
        <f>[2]!expavg2($T$9:$T$26,I254,J254,$R$9:$R$26)</f>
        <v>ERROR: Please use EndPeriod &lt; BegPeriod.</v>
      </c>
      <c r="H254" s="2">
        <f t="shared" si="22"/>
        <v>11</v>
      </c>
      <c r="I254" s="24">
        <f t="shared" si="26"/>
        <v>6</v>
      </c>
      <c r="J254" s="24">
        <f t="shared" si="27"/>
        <v>12</v>
      </c>
      <c r="K254" s="17">
        <f t="shared" si="23"/>
        <v>-5</v>
      </c>
      <c r="M254" s="15">
        <f t="shared" ca="1" si="24"/>
        <v>40574</v>
      </c>
      <c r="N254" s="15">
        <f t="shared" ca="1" si="25"/>
        <v>38383</v>
      </c>
      <c r="Z254" s="1"/>
    </row>
    <row r="255" spans="3:26" x14ac:dyDescent="0.2">
      <c r="C255" s="39"/>
      <c r="D255" s="39"/>
      <c r="E255" s="38">
        <f>[2]!expavg($T$9:$T$26,$R$9:$R$26,K255,H255)</f>
        <v>0.68957279758642287</v>
      </c>
      <c r="F255" s="38" t="str">
        <f>[2]!expavg2($T$9:$T$26,I255,J255,$R$9:$R$26)</f>
        <v>ERROR: Please use EndPeriod &lt; BegPeriod.</v>
      </c>
      <c r="H255" s="2">
        <f t="shared" si="22"/>
        <v>10</v>
      </c>
      <c r="I255" s="24">
        <f t="shared" si="26"/>
        <v>6</v>
      </c>
      <c r="J255" s="24">
        <f t="shared" si="27"/>
        <v>11</v>
      </c>
      <c r="K255" s="17">
        <f t="shared" si="23"/>
        <v>-4</v>
      </c>
      <c r="M255" s="15">
        <f t="shared" ca="1" si="24"/>
        <v>40574</v>
      </c>
      <c r="N255" s="15">
        <f t="shared" ca="1" si="25"/>
        <v>38748</v>
      </c>
      <c r="Z255" s="1"/>
    </row>
    <row r="256" spans="3:26" x14ac:dyDescent="0.2">
      <c r="C256" s="39"/>
      <c r="D256" s="39"/>
      <c r="E256" s="38">
        <f>[2]!expavg($T$9:$T$26,$R$9:$R$26,K256,H256)</f>
        <v>0.67160897630855276</v>
      </c>
      <c r="F256" s="38" t="str">
        <f>[2]!expavg2($T$9:$T$26,I256,J256,$R$9:$R$26)</f>
        <v>ERROR: Please use EndPeriod &lt; BegPeriod.</v>
      </c>
      <c r="H256" s="2">
        <f t="shared" si="22"/>
        <v>9</v>
      </c>
      <c r="I256" s="24">
        <f t="shared" si="26"/>
        <v>6</v>
      </c>
      <c r="J256" s="24">
        <f t="shared" si="27"/>
        <v>10</v>
      </c>
      <c r="K256" s="17">
        <f t="shared" si="23"/>
        <v>-3</v>
      </c>
      <c r="M256" s="15">
        <f t="shared" ca="1" si="24"/>
        <v>40574</v>
      </c>
      <c r="N256" s="15">
        <f t="shared" ca="1" si="25"/>
        <v>39113</v>
      </c>
      <c r="Z256" s="1"/>
    </row>
    <row r="257" spans="3:26" x14ac:dyDescent="0.2">
      <c r="C257" s="39"/>
      <c r="D257" s="39"/>
      <c r="E257" s="38">
        <f>[2]!expavg($T$9:$T$26,$R$9:$R$26,K257,H257)</f>
        <v>0.66527157980250695</v>
      </c>
      <c r="F257" s="38" t="str">
        <f>[2]!expavg2($T$9:$T$26,I257,J257,$R$9:$R$26)</f>
        <v>ERROR: Please use EndPeriod &lt; BegPeriod.</v>
      </c>
      <c r="H257" s="2">
        <f t="shared" si="22"/>
        <v>8</v>
      </c>
      <c r="I257" s="24">
        <f t="shared" si="26"/>
        <v>6</v>
      </c>
      <c r="J257" s="24">
        <f t="shared" si="27"/>
        <v>9</v>
      </c>
      <c r="K257" s="17">
        <f t="shared" si="23"/>
        <v>-2</v>
      </c>
      <c r="M257" s="15">
        <f t="shared" ca="1" si="24"/>
        <v>40574</v>
      </c>
      <c r="N257" s="15">
        <f t="shared" ca="1" si="25"/>
        <v>39478</v>
      </c>
      <c r="Z257" s="1"/>
    </row>
    <row r="258" spans="3:26" x14ac:dyDescent="0.2">
      <c r="C258" s="39"/>
      <c r="D258" s="39"/>
      <c r="E258" s="38">
        <f>[2]!expavg($T$9:$T$26,$R$9:$R$26,K258,H258)</f>
        <v>0.68450987024306864</v>
      </c>
      <c r="F258" s="38" t="str">
        <f>[2]!expavg2($T$9:$T$26,I258,J258,$R$9:$R$26)</f>
        <v>ERROR: Please use EndPeriod &lt; BegPeriod.</v>
      </c>
      <c r="H258" s="2">
        <f t="shared" si="22"/>
        <v>7</v>
      </c>
      <c r="I258" s="24">
        <f t="shared" si="26"/>
        <v>6</v>
      </c>
      <c r="J258" s="24">
        <f t="shared" si="27"/>
        <v>8</v>
      </c>
      <c r="K258" s="17">
        <f t="shared" si="23"/>
        <v>-1</v>
      </c>
      <c r="M258" s="15">
        <f t="shared" ca="1" si="24"/>
        <v>40574</v>
      </c>
      <c r="N258" s="15">
        <f t="shared" ca="1" si="25"/>
        <v>39844</v>
      </c>
      <c r="Z258" s="1"/>
    </row>
    <row r="259" spans="3:26" x14ac:dyDescent="0.2">
      <c r="C259" s="39"/>
      <c r="D259" s="39"/>
      <c r="E259" s="38">
        <f>[2]!expavg($T$9:$T$26,$R$9:$R$26,K259,H259)</f>
        <v>0.67627397338659268</v>
      </c>
      <c r="F259" s="38" t="str">
        <f>[2]!expavg2($T$9:$T$26,I259,J259,$R$9:$R$26)</f>
        <v>ERROR: Please use EndPeriod &lt; BegPeriod.</v>
      </c>
      <c r="H259" s="2">
        <f t="shared" si="22"/>
        <v>6</v>
      </c>
      <c r="I259" s="24">
        <f t="shared" si="26"/>
        <v>6</v>
      </c>
      <c r="J259" s="24">
        <f t="shared" si="27"/>
        <v>7</v>
      </c>
      <c r="K259" s="17">
        <f t="shared" si="23"/>
        <v>0</v>
      </c>
      <c r="M259" s="15">
        <f t="shared" ca="1" si="24"/>
        <v>40574</v>
      </c>
      <c r="N259" s="15">
        <f t="shared" ca="1" si="25"/>
        <v>40209</v>
      </c>
      <c r="Z259" s="1"/>
    </row>
    <row r="260" spans="3:26" x14ac:dyDescent="0.2">
      <c r="C260" s="39"/>
      <c r="D260" s="39"/>
      <c r="E260" s="38">
        <f>[2]!expavg($T$9:$T$26,$R$9:$R$26,K260,H260)</f>
        <v>0.51314722431805748</v>
      </c>
      <c r="F260" s="38">
        <f>[2]!expavg2($T$9:$T$26,I260,J260,$R$9:$R$26)</f>
        <v>0.51314722431805748</v>
      </c>
      <c r="H260" s="2">
        <f t="shared" si="22"/>
        <v>5</v>
      </c>
      <c r="I260" s="24">
        <f t="shared" si="26"/>
        <v>6</v>
      </c>
      <c r="J260" s="24">
        <f t="shared" si="27"/>
        <v>6</v>
      </c>
      <c r="K260" s="17">
        <f t="shared" si="23"/>
        <v>1</v>
      </c>
      <c r="M260" s="15">
        <f t="shared" ca="1" si="24"/>
        <v>40574</v>
      </c>
      <c r="N260" s="15">
        <f t="shared" ca="1" si="25"/>
        <v>40574</v>
      </c>
      <c r="Z260" s="1"/>
    </row>
    <row r="261" spans="3:26" x14ac:dyDescent="0.2">
      <c r="C261" s="39"/>
      <c r="D261" s="39"/>
      <c r="E261" s="38">
        <f>[2]!expavg($T$9:$T$26,$R$9:$R$26,K261,H261)</f>
        <v>0.49777232635548585</v>
      </c>
      <c r="F261" s="38">
        <f>[2]!expavg2($T$9:$T$26,I261,J261,$R$9:$R$26)</f>
        <v>0.49777232635548585</v>
      </c>
      <c r="H261" s="2">
        <f t="shared" si="22"/>
        <v>4</v>
      </c>
      <c r="I261" s="24">
        <f t="shared" si="26"/>
        <v>6</v>
      </c>
      <c r="J261" s="24">
        <f t="shared" si="27"/>
        <v>5</v>
      </c>
      <c r="K261" s="17">
        <f t="shared" si="23"/>
        <v>2</v>
      </c>
      <c r="M261" s="15">
        <f t="shared" ca="1" si="24"/>
        <v>40574</v>
      </c>
      <c r="N261" s="15">
        <f t="shared" ca="1" si="25"/>
        <v>40939</v>
      </c>
      <c r="Z261" s="1"/>
    </row>
    <row r="262" spans="3:26" x14ac:dyDescent="0.2">
      <c r="C262" s="39"/>
      <c r="D262" s="39"/>
      <c r="E262" s="38">
        <f>[2]!expavg($T$9:$T$26,$R$9:$R$26,K262,H262)</f>
        <v>0.49633250421557051</v>
      </c>
      <c r="F262" s="38">
        <f>[2]!expavg2($T$9:$T$26,I262,J262,$R$9:$R$26)</f>
        <v>0.49633250421557051</v>
      </c>
      <c r="H262" s="2">
        <f t="shared" si="22"/>
        <v>3</v>
      </c>
      <c r="I262" s="24">
        <f t="shared" si="26"/>
        <v>6</v>
      </c>
      <c r="J262" s="24">
        <f t="shared" si="27"/>
        <v>4</v>
      </c>
      <c r="K262" s="17">
        <f t="shared" si="23"/>
        <v>3</v>
      </c>
      <c r="M262" s="15">
        <f t="shared" ca="1" si="24"/>
        <v>40574</v>
      </c>
      <c r="N262" s="15">
        <f t="shared" ca="1" si="25"/>
        <v>41305</v>
      </c>
      <c r="Z262" s="1"/>
    </row>
    <row r="263" spans="3:26" x14ac:dyDescent="0.2">
      <c r="C263" s="39"/>
      <c r="D263" s="39"/>
      <c r="E263" s="38">
        <f>[2]!expavg($T$9:$T$26,$R$9:$R$26,K263,H263)</f>
        <v>0.50395253487280534</v>
      </c>
      <c r="F263" s="38">
        <f>[2]!expavg2($T$9:$T$26,I263,J263,$R$9:$R$26)</f>
        <v>0.50395253487280534</v>
      </c>
      <c r="H263" s="2">
        <f t="shared" si="22"/>
        <v>2</v>
      </c>
      <c r="I263" s="24">
        <f t="shared" si="26"/>
        <v>6</v>
      </c>
      <c r="J263" s="24">
        <f t="shared" si="27"/>
        <v>3</v>
      </c>
      <c r="K263" s="17">
        <f t="shared" si="23"/>
        <v>4</v>
      </c>
      <c r="M263" s="15">
        <f t="shared" ca="1" si="24"/>
        <v>40574</v>
      </c>
      <c r="N263" s="15">
        <f t="shared" ca="1" si="25"/>
        <v>41670</v>
      </c>
      <c r="Z263" s="1"/>
    </row>
    <row r="264" spans="3:26" x14ac:dyDescent="0.2">
      <c r="C264" s="39"/>
      <c r="D264" s="39"/>
      <c r="E264" s="38">
        <f>[2]!expavg($T$9:$T$26,$R$9:$R$26,K264,H264)</f>
        <v>0.49183302642579441</v>
      </c>
      <c r="F264" s="38">
        <f>[2]!expavg2($T$9:$T$26,I264,J264,$R$9:$R$26)</f>
        <v>0.49183302642579441</v>
      </c>
      <c r="H264" s="2">
        <f t="shared" si="22"/>
        <v>1</v>
      </c>
      <c r="I264" s="24">
        <f t="shared" si="26"/>
        <v>6</v>
      </c>
      <c r="J264" s="24">
        <f t="shared" si="27"/>
        <v>2</v>
      </c>
      <c r="K264" s="17">
        <f t="shared" si="23"/>
        <v>5</v>
      </c>
      <c r="M264" s="15">
        <f t="shared" ca="1" si="24"/>
        <v>40574</v>
      </c>
      <c r="N264" s="15">
        <f t="shared" ca="1" si="25"/>
        <v>42035</v>
      </c>
      <c r="Z264" s="1"/>
    </row>
    <row r="265" spans="3:26" x14ac:dyDescent="0.2">
      <c r="C265" s="39"/>
      <c r="D265" s="39"/>
      <c r="E265" s="38">
        <f>[2]!expavg($T$9:$T$26,$R$9:$R$26,K265,H265)</f>
        <v>0.49979088215816814</v>
      </c>
      <c r="F265" s="38">
        <f>[2]!expavg2($T$9:$T$26,I265,J265,$R$9:$R$26)</f>
        <v>0.49979088215816814</v>
      </c>
      <c r="H265" s="2">
        <f t="shared" si="22"/>
        <v>0</v>
      </c>
      <c r="I265" s="24">
        <f t="shared" si="26"/>
        <v>6</v>
      </c>
      <c r="J265" s="24">
        <f t="shared" si="27"/>
        <v>1</v>
      </c>
      <c r="K265" s="17">
        <f t="shared" si="23"/>
        <v>6</v>
      </c>
      <c r="M265" s="15">
        <f t="shared" ca="1" si="24"/>
        <v>40574</v>
      </c>
      <c r="N265" s="15">
        <f t="shared" ca="1" si="25"/>
        <v>42400</v>
      </c>
      <c r="Z265" s="1"/>
    </row>
    <row r="266" spans="3:26" x14ac:dyDescent="0.2">
      <c r="C266" s="39"/>
      <c r="D266" s="39"/>
      <c r="E266" s="38">
        <f>[2]!expavg($T$9:$T$26,$R$9:$R$26,K266,H266)</f>
        <v>0.51353341456203094</v>
      </c>
      <c r="F266" s="38" t="str">
        <f>[2]!expavg2($T$9:$T$26,I266,J266,$R$9:$R$26)</f>
        <v>ERROR: Please use EndPeriod &gt;= 1.</v>
      </c>
      <c r="H266" s="2">
        <f t="shared" si="22"/>
        <v>-1</v>
      </c>
      <c r="I266" s="24">
        <f t="shared" si="26"/>
        <v>6</v>
      </c>
      <c r="J266" s="24">
        <f t="shared" si="27"/>
        <v>0</v>
      </c>
      <c r="K266" s="17">
        <f t="shared" si="23"/>
        <v>7</v>
      </c>
      <c r="M266" s="15">
        <f t="shared" ca="1" si="24"/>
        <v>40574</v>
      </c>
      <c r="N266" s="15">
        <f t="shared" ca="1" si="25"/>
        <v>0</v>
      </c>
      <c r="Z266" s="1"/>
    </row>
    <row r="267" spans="3:26" x14ac:dyDescent="0.2">
      <c r="C267" s="39"/>
      <c r="D267" s="39"/>
      <c r="E267" s="38">
        <f>[2]!expavg($T$9:$T$26,$R$9:$R$26,K267,H267)</f>
        <v>0.54989878004436588</v>
      </c>
      <c r="F267" s="38" t="str">
        <f>[2]!expavg2($T$9:$T$26,I267,J267,$R$9:$R$26)</f>
        <v>ERROR: Please use EndPeriod &gt;= 1.</v>
      </c>
      <c r="H267" s="2">
        <f t="shared" si="22"/>
        <v>-2</v>
      </c>
      <c r="I267" s="24">
        <f t="shared" si="26"/>
        <v>6</v>
      </c>
      <c r="J267" s="24">
        <f t="shared" si="27"/>
        <v>-1</v>
      </c>
      <c r="K267" s="17">
        <f t="shared" si="23"/>
        <v>8</v>
      </c>
      <c r="M267" s="15">
        <f t="shared" ca="1" si="24"/>
        <v>40574</v>
      </c>
      <c r="N267" s="15">
        <f t="shared" ca="1" si="25"/>
        <v>0</v>
      </c>
      <c r="Z267" s="1"/>
    </row>
    <row r="268" spans="3:26" x14ac:dyDescent="0.2">
      <c r="C268" s="39"/>
      <c r="D268" s="39"/>
      <c r="E268" s="38">
        <f>[2]!expavg($T$9:$T$26,$R$9:$R$26,K268,H268)</f>
        <v>0.70939186407915755</v>
      </c>
      <c r="F268" s="38" t="str">
        <f>[2]!expavg2($T$9:$T$26,I268,J268,$R$9:$R$26)</f>
        <v>ERROR: Please use EndPeriod &lt; BegPeriod.</v>
      </c>
      <c r="H268" s="2">
        <f t="shared" si="22"/>
        <v>14</v>
      </c>
      <c r="I268" s="24">
        <f t="shared" si="26"/>
        <v>5</v>
      </c>
      <c r="J268" s="24">
        <f t="shared" si="27"/>
        <v>15</v>
      </c>
      <c r="K268" s="17">
        <f t="shared" si="23"/>
        <v>-9</v>
      </c>
      <c r="M268" s="15">
        <f t="shared" ca="1" si="24"/>
        <v>40939</v>
      </c>
      <c r="N268" s="15">
        <f t="shared" ca="1" si="25"/>
        <v>37287</v>
      </c>
      <c r="Z268" s="1"/>
    </row>
    <row r="269" spans="3:26" x14ac:dyDescent="0.2">
      <c r="C269" s="39"/>
      <c r="D269" s="39"/>
      <c r="E269" s="38">
        <f>[2]!expavg($T$9:$T$26,$R$9:$R$26,K269,H269)</f>
        <v>0.67177139323204882</v>
      </c>
      <c r="F269" s="38" t="str">
        <f>[2]!expavg2($T$9:$T$26,I269,J269,$R$9:$R$26)</f>
        <v>ERROR: Please use EndPeriod &lt; BegPeriod.</v>
      </c>
      <c r="H269" s="2">
        <f t="shared" si="22"/>
        <v>13</v>
      </c>
      <c r="I269" s="24">
        <f t="shared" si="26"/>
        <v>5</v>
      </c>
      <c r="J269" s="24">
        <f t="shared" si="27"/>
        <v>14</v>
      </c>
      <c r="K269" s="17">
        <f t="shared" si="23"/>
        <v>-8</v>
      </c>
      <c r="M269" s="15">
        <f t="shared" ca="1" si="24"/>
        <v>40939</v>
      </c>
      <c r="N269" s="15">
        <f t="shared" ca="1" si="25"/>
        <v>37652</v>
      </c>
      <c r="Z269" s="1"/>
    </row>
    <row r="270" spans="3:26" x14ac:dyDescent="0.2">
      <c r="C270" s="39"/>
      <c r="D270" s="39"/>
      <c r="E270" s="38">
        <f>[2]!expavg($T$9:$T$26,$R$9:$R$26,K270,H270)</f>
        <v>0.66945167850810816</v>
      </c>
      <c r="F270" s="38" t="str">
        <f>[2]!expavg2($T$9:$T$26,I270,J270,$R$9:$R$26)</f>
        <v>ERROR: Please use EndPeriod &lt; BegPeriod.</v>
      </c>
      <c r="H270" s="2">
        <f t="shared" si="22"/>
        <v>12</v>
      </c>
      <c r="I270" s="24">
        <f t="shared" si="26"/>
        <v>5</v>
      </c>
      <c r="J270" s="24">
        <f t="shared" si="27"/>
        <v>13</v>
      </c>
      <c r="K270" s="17">
        <f t="shared" si="23"/>
        <v>-7</v>
      </c>
      <c r="M270" s="15">
        <f t="shared" ca="1" si="24"/>
        <v>40939</v>
      </c>
      <c r="N270" s="15">
        <f t="shared" ca="1" si="25"/>
        <v>38017</v>
      </c>
      <c r="Z270" s="1"/>
    </row>
    <row r="271" spans="3:26" x14ac:dyDescent="0.2">
      <c r="C271" s="39"/>
      <c r="D271" s="39"/>
      <c r="E271" s="38">
        <f>[2]!expavg($T$9:$T$26,$R$9:$R$26,K271,H271)</f>
        <v>0.67904388723605558</v>
      </c>
      <c r="F271" s="38" t="str">
        <f>[2]!expavg2($T$9:$T$26,I271,J271,$R$9:$R$26)</f>
        <v>ERROR: Please use EndPeriod &lt; BegPeriod.</v>
      </c>
      <c r="H271" s="2">
        <f t="shared" si="22"/>
        <v>11</v>
      </c>
      <c r="I271" s="24">
        <f t="shared" si="26"/>
        <v>5</v>
      </c>
      <c r="J271" s="24">
        <f t="shared" si="27"/>
        <v>12</v>
      </c>
      <c r="K271" s="17">
        <f t="shared" si="23"/>
        <v>-6</v>
      </c>
      <c r="M271" s="15">
        <f t="shared" ca="1" si="24"/>
        <v>40939</v>
      </c>
      <c r="N271" s="15">
        <f t="shared" ca="1" si="25"/>
        <v>38383</v>
      </c>
      <c r="Z271" s="1"/>
    </row>
    <row r="272" spans="3:26" x14ac:dyDescent="0.2">
      <c r="C272" s="39"/>
      <c r="D272" s="39"/>
      <c r="E272" s="38">
        <f>[2]!expavg($T$9:$T$26,$R$9:$R$26,K272,H272)</f>
        <v>0.68957279758642287</v>
      </c>
      <c r="F272" s="38" t="str">
        <f>[2]!expavg2($T$9:$T$26,I272,J272,$R$9:$R$26)</f>
        <v>ERROR: Please use EndPeriod &lt; BegPeriod.</v>
      </c>
      <c r="H272" s="2">
        <f t="shared" si="22"/>
        <v>10</v>
      </c>
      <c r="I272" s="24">
        <f t="shared" si="26"/>
        <v>5</v>
      </c>
      <c r="J272" s="24">
        <f t="shared" si="27"/>
        <v>11</v>
      </c>
      <c r="K272" s="17">
        <f t="shared" si="23"/>
        <v>-5</v>
      </c>
      <c r="M272" s="15">
        <f t="shared" ca="1" si="24"/>
        <v>40939</v>
      </c>
      <c r="N272" s="15">
        <f t="shared" ca="1" si="25"/>
        <v>38748</v>
      </c>
      <c r="Z272" s="1"/>
    </row>
    <row r="273" spans="3:26" x14ac:dyDescent="0.2">
      <c r="C273" s="39"/>
      <c r="D273" s="39"/>
      <c r="E273" s="38">
        <f>[2]!expavg($T$9:$T$26,$R$9:$R$26,K273,H273)</f>
        <v>0.67160897630855276</v>
      </c>
      <c r="F273" s="38" t="str">
        <f>[2]!expavg2($T$9:$T$26,I273,J273,$R$9:$R$26)</f>
        <v>ERROR: Please use EndPeriod &lt; BegPeriod.</v>
      </c>
      <c r="H273" s="2">
        <f t="shared" si="22"/>
        <v>9</v>
      </c>
      <c r="I273" s="24">
        <f t="shared" si="26"/>
        <v>5</v>
      </c>
      <c r="J273" s="24">
        <f t="shared" si="27"/>
        <v>10</v>
      </c>
      <c r="K273" s="17">
        <f t="shared" si="23"/>
        <v>-4</v>
      </c>
      <c r="M273" s="15">
        <f t="shared" ca="1" si="24"/>
        <v>40939</v>
      </c>
      <c r="N273" s="15">
        <f t="shared" ca="1" si="25"/>
        <v>39113</v>
      </c>
      <c r="Z273" s="1"/>
    </row>
    <row r="274" spans="3:26" x14ac:dyDescent="0.2">
      <c r="C274" s="39"/>
      <c r="D274" s="39"/>
      <c r="E274" s="38">
        <f>[2]!expavg($T$9:$T$26,$R$9:$R$26,K274,H274)</f>
        <v>0.66527157980250695</v>
      </c>
      <c r="F274" s="38" t="str">
        <f>[2]!expavg2($T$9:$T$26,I274,J274,$R$9:$R$26)</f>
        <v>ERROR: Please use EndPeriod &lt; BegPeriod.</v>
      </c>
      <c r="H274" s="2">
        <f t="shared" si="22"/>
        <v>8</v>
      </c>
      <c r="I274" s="24">
        <f t="shared" si="26"/>
        <v>5</v>
      </c>
      <c r="J274" s="24">
        <f t="shared" si="27"/>
        <v>9</v>
      </c>
      <c r="K274" s="17">
        <f t="shared" si="23"/>
        <v>-3</v>
      </c>
      <c r="M274" s="15">
        <f t="shared" ca="1" si="24"/>
        <v>40939</v>
      </c>
      <c r="N274" s="15">
        <f t="shared" ca="1" si="25"/>
        <v>39478</v>
      </c>
      <c r="Z274" s="1"/>
    </row>
    <row r="275" spans="3:26" x14ac:dyDescent="0.2">
      <c r="C275" s="39"/>
      <c r="D275" s="39"/>
      <c r="E275" s="38">
        <f>[2]!expavg($T$9:$T$26,$R$9:$R$26,K275,H275)</f>
        <v>0.68450987024306864</v>
      </c>
      <c r="F275" s="38" t="str">
        <f>[2]!expavg2($T$9:$T$26,I275,J275,$R$9:$R$26)</f>
        <v>ERROR: Please use EndPeriod &lt; BegPeriod.</v>
      </c>
      <c r="H275" s="2">
        <f t="shared" si="22"/>
        <v>7</v>
      </c>
      <c r="I275" s="24">
        <f t="shared" si="26"/>
        <v>5</v>
      </c>
      <c r="J275" s="24">
        <f t="shared" si="27"/>
        <v>8</v>
      </c>
      <c r="K275" s="17">
        <f t="shared" si="23"/>
        <v>-2</v>
      </c>
      <c r="M275" s="15">
        <f t="shared" ca="1" si="24"/>
        <v>40939</v>
      </c>
      <c r="N275" s="15">
        <f t="shared" ca="1" si="25"/>
        <v>39844</v>
      </c>
      <c r="Z275" s="1"/>
    </row>
    <row r="276" spans="3:26" x14ac:dyDescent="0.2">
      <c r="C276" s="39"/>
      <c r="D276" s="39"/>
      <c r="E276" s="38">
        <f>[2]!expavg($T$9:$T$26,$R$9:$R$26,K276,H276)</f>
        <v>0.67627397338659268</v>
      </c>
      <c r="F276" s="38" t="str">
        <f>[2]!expavg2($T$9:$T$26,I276,J276,$R$9:$R$26)</f>
        <v>ERROR: Please use EndPeriod &lt; BegPeriod.</v>
      </c>
      <c r="H276" s="2">
        <f t="shared" si="22"/>
        <v>6</v>
      </c>
      <c r="I276" s="24">
        <f t="shared" si="26"/>
        <v>5</v>
      </c>
      <c r="J276" s="24">
        <f t="shared" si="27"/>
        <v>7</v>
      </c>
      <c r="K276" s="17">
        <f t="shared" si="23"/>
        <v>-1</v>
      </c>
      <c r="M276" s="15">
        <f t="shared" ca="1" si="24"/>
        <v>40939</v>
      </c>
      <c r="N276" s="15">
        <f t="shared" ca="1" si="25"/>
        <v>40209</v>
      </c>
      <c r="Z276" s="1"/>
    </row>
    <row r="277" spans="3:26" x14ac:dyDescent="0.2">
      <c r="C277" s="39"/>
      <c r="D277" s="39"/>
      <c r="E277" s="38">
        <f>[2]!expavg($T$9:$T$26,$R$9:$R$26,K277,H277)</f>
        <v>0.66006899259190965</v>
      </c>
      <c r="F277" s="38" t="str">
        <f>[2]!expavg2($T$9:$T$26,I277,J277,$R$9:$R$26)</f>
        <v>ERROR: Please use EndPeriod &lt; BegPeriod.</v>
      </c>
      <c r="H277" s="2">
        <f t="shared" si="22"/>
        <v>5</v>
      </c>
      <c r="I277" s="24">
        <f t="shared" si="26"/>
        <v>5</v>
      </c>
      <c r="J277" s="24">
        <f t="shared" si="27"/>
        <v>6</v>
      </c>
      <c r="K277" s="17">
        <f t="shared" si="23"/>
        <v>0</v>
      </c>
      <c r="M277" s="15">
        <f t="shared" ca="1" si="24"/>
        <v>40939</v>
      </c>
      <c r="N277" s="15">
        <f t="shared" ca="1" si="25"/>
        <v>40574</v>
      </c>
      <c r="Z277" s="1"/>
    </row>
    <row r="278" spans="3:26" x14ac:dyDescent="0.2">
      <c r="C278" s="39"/>
      <c r="D278" s="39"/>
      <c r="E278" s="38">
        <f>[2]!expavg($T$9:$T$26,$R$9:$R$26,K278,H278)</f>
        <v>0.48570297500032766</v>
      </c>
      <c r="F278" s="38">
        <f>[2]!expavg2($T$9:$T$26,I278,J278,$R$9:$R$26)</f>
        <v>0.48570297500032766</v>
      </c>
      <c r="H278" s="2">
        <f t="shared" si="22"/>
        <v>4</v>
      </c>
      <c r="I278" s="24">
        <f t="shared" si="26"/>
        <v>5</v>
      </c>
      <c r="J278" s="24">
        <f t="shared" si="27"/>
        <v>5</v>
      </c>
      <c r="K278" s="17">
        <f t="shared" si="23"/>
        <v>1</v>
      </c>
      <c r="M278" s="15">
        <f t="shared" ca="1" si="24"/>
        <v>40939</v>
      </c>
      <c r="N278" s="15">
        <f t="shared" ca="1" si="25"/>
        <v>40939</v>
      </c>
      <c r="Z278" s="1"/>
    </row>
    <row r="279" spans="3:26" x14ac:dyDescent="0.2">
      <c r="C279" s="39"/>
      <c r="D279" s="39"/>
      <c r="E279" s="38">
        <f>[2]!expavg($T$9:$T$26,$R$9:$R$26,K279,H279)</f>
        <v>0.48905191278789362</v>
      </c>
      <c r="F279" s="38">
        <f>[2]!expavg2($T$9:$T$26,I279,J279,$R$9:$R$26)</f>
        <v>0.48905191278789362</v>
      </c>
      <c r="H279" s="2">
        <f t="shared" si="22"/>
        <v>3</v>
      </c>
      <c r="I279" s="24">
        <f t="shared" si="26"/>
        <v>5</v>
      </c>
      <c r="J279" s="24">
        <f t="shared" si="27"/>
        <v>4</v>
      </c>
      <c r="K279" s="17">
        <f t="shared" si="23"/>
        <v>2</v>
      </c>
      <c r="M279" s="15">
        <f t="shared" ca="1" si="24"/>
        <v>40939</v>
      </c>
      <c r="N279" s="15">
        <f t="shared" ca="1" si="25"/>
        <v>41305</v>
      </c>
      <c r="Z279" s="1"/>
    </row>
    <row r="280" spans="3:26" x14ac:dyDescent="0.2">
      <c r="C280" s="39"/>
      <c r="D280" s="39"/>
      <c r="E280" s="38">
        <f>[2]!expavg($T$9:$T$26,$R$9:$R$26,K280,H280)</f>
        <v>0.50120728910599988</v>
      </c>
      <c r="F280" s="38">
        <f>[2]!expavg2($T$9:$T$26,I280,J280,$R$9:$R$26)</f>
        <v>0.50120728910599988</v>
      </c>
      <c r="H280" s="2">
        <f t="shared" si="22"/>
        <v>2</v>
      </c>
      <c r="I280" s="24">
        <f t="shared" si="26"/>
        <v>5</v>
      </c>
      <c r="J280" s="24">
        <f t="shared" si="27"/>
        <v>3</v>
      </c>
      <c r="K280" s="17">
        <f t="shared" si="23"/>
        <v>3</v>
      </c>
      <c r="M280" s="15">
        <f t="shared" ca="1" si="24"/>
        <v>40939</v>
      </c>
      <c r="N280" s="15">
        <f t="shared" ca="1" si="25"/>
        <v>41670</v>
      </c>
      <c r="Z280" s="1"/>
    </row>
    <row r="281" spans="3:26" x14ac:dyDescent="0.2">
      <c r="C281" s="39"/>
      <c r="D281" s="39"/>
      <c r="E281" s="38">
        <f>[2]!expavg($T$9:$T$26,$R$9:$R$26,K281,H281)</f>
        <v>0.48697539858331468</v>
      </c>
      <c r="F281" s="38">
        <f>[2]!expavg2($T$9:$T$26,I281,J281,$R$9:$R$26)</f>
        <v>0.48697539858331468</v>
      </c>
      <c r="H281" s="2">
        <f t="shared" si="22"/>
        <v>1</v>
      </c>
      <c r="I281" s="24">
        <f t="shared" si="26"/>
        <v>5</v>
      </c>
      <c r="J281" s="24">
        <f t="shared" si="27"/>
        <v>2</v>
      </c>
      <c r="K281" s="17">
        <f t="shared" si="23"/>
        <v>4</v>
      </c>
      <c r="M281" s="15">
        <f t="shared" ca="1" si="24"/>
        <v>40939</v>
      </c>
      <c r="N281" s="15">
        <f t="shared" ca="1" si="25"/>
        <v>42035</v>
      </c>
      <c r="Z281" s="1"/>
    </row>
    <row r="282" spans="3:26" x14ac:dyDescent="0.2">
      <c r="C282" s="39"/>
      <c r="D282" s="39"/>
      <c r="E282" s="38">
        <f>[2]!expavg($T$9:$T$26,$R$9:$R$26,K282,H282)</f>
        <v>0.49721372859125973</v>
      </c>
      <c r="F282" s="38">
        <f>[2]!expavg2($T$9:$T$26,I282,J282,$R$9:$R$26)</f>
        <v>0.49721372859125973</v>
      </c>
      <c r="H282" s="2">
        <f t="shared" si="22"/>
        <v>0</v>
      </c>
      <c r="I282" s="24">
        <f t="shared" si="26"/>
        <v>5</v>
      </c>
      <c r="J282" s="24">
        <f t="shared" si="27"/>
        <v>1</v>
      </c>
      <c r="K282" s="17">
        <f t="shared" si="23"/>
        <v>5</v>
      </c>
      <c r="M282" s="15">
        <f t="shared" ca="1" si="24"/>
        <v>40939</v>
      </c>
      <c r="N282" s="15">
        <f t="shared" ca="1" si="25"/>
        <v>42400</v>
      </c>
      <c r="Z282" s="1"/>
    </row>
    <row r="283" spans="3:26" x14ac:dyDescent="0.2">
      <c r="C283" s="39"/>
      <c r="D283" s="39"/>
      <c r="E283" s="38">
        <f>[2]!expavg($T$9:$T$26,$R$9:$R$26,K283,H283)</f>
        <v>0.49979088215816814</v>
      </c>
      <c r="F283" s="38" t="str">
        <f>[2]!expavg2($T$9:$T$26,I283,J283,$R$9:$R$26)</f>
        <v>ERROR: Please use EndPeriod &gt;= 1.</v>
      </c>
      <c r="H283" s="2">
        <f t="shared" si="22"/>
        <v>-1</v>
      </c>
      <c r="I283" s="24">
        <f t="shared" si="26"/>
        <v>5</v>
      </c>
      <c r="J283" s="24">
        <f t="shared" si="27"/>
        <v>0</v>
      </c>
      <c r="K283" s="17">
        <f t="shared" si="23"/>
        <v>6</v>
      </c>
      <c r="M283" s="15">
        <f t="shared" ca="1" si="24"/>
        <v>40939</v>
      </c>
      <c r="N283" s="15">
        <f t="shared" ca="1" si="25"/>
        <v>0</v>
      </c>
      <c r="Z283" s="1"/>
    </row>
    <row r="284" spans="3:26" x14ac:dyDescent="0.2">
      <c r="C284" s="39"/>
      <c r="D284" s="39"/>
      <c r="E284" s="38">
        <f>[2]!expavg($T$9:$T$26,$R$9:$R$26,K284,H284)</f>
        <v>0.51353341456203094</v>
      </c>
      <c r="F284" s="38" t="str">
        <f>[2]!expavg2($T$9:$T$26,I284,J284,$R$9:$R$26)</f>
        <v>ERROR: Please use EndPeriod &gt;= 1.</v>
      </c>
      <c r="H284" s="2">
        <f t="shared" si="22"/>
        <v>-2</v>
      </c>
      <c r="I284" s="24">
        <f t="shared" si="26"/>
        <v>5</v>
      </c>
      <c r="J284" s="24">
        <f t="shared" si="27"/>
        <v>-1</v>
      </c>
      <c r="K284" s="17">
        <f t="shared" si="23"/>
        <v>7</v>
      </c>
      <c r="M284" s="15">
        <f t="shared" ca="1" si="24"/>
        <v>40939</v>
      </c>
      <c r="N284" s="15">
        <f t="shared" ca="1" si="25"/>
        <v>0</v>
      </c>
      <c r="Z284" s="1"/>
    </row>
    <row r="285" spans="3:26" x14ac:dyDescent="0.2">
      <c r="C285" s="39"/>
      <c r="D285" s="39"/>
      <c r="E285" s="38">
        <f>[2]!expavg($T$9:$T$26,$R$9:$R$26,K285,H285)</f>
        <v>0.70939186407915755</v>
      </c>
      <c r="F285" s="38" t="str">
        <f>[2]!expavg2($T$9:$T$26,I285,J285,$R$9:$R$26)</f>
        <v>ERROR: Please use EndPeriod &lt; BegPeriod.</v>
      </c>
      <c r="H285" s="2">
        <f t="shared" si="22"/>
        <v>14</v>
      </c>
      <c r="I285" s="24">
        <f t="shared" si="26"/>
        <v>4</v>
      </c>
      <c r="J285" s="24">
        <f t="shared" si="27"/>
        <v>15</v>
      </c>
      <c r="K285" s="17">
        <f t="shared" si="23"/>
        <v>-10</v>
      </c>
      <c r="M285" s="15">
        <f t="shared" ca="1" si="24"/>
        <v>41305</v>
      </c>
      <c r="N285" s="15">
        <f t="shared" ca="1" si="25"/>
        <v>37287</v>
      </c>
      <c r="Z285" s="1"/>
    </row>
    <row r="286" spans="3:26" x14ac:dyDescent="0.2">
      <c r="C286" s="39"/>
      <c r="D286" s="39"/>
      <c r="E286" s="38">
        <f>[2]!expavg($T$9:$T$26,$R$9:$R$26,K286,H286)</f>
        <v>0.67177139323204882</v>
      </c>
      <c r="F286" s="38" t="str">
        <f>[2]!expavg2($T$9:$T$26,I286,J286,$R$9:$R$26)</f>
        <v>ERROR: Please use EndPeriod &lt; BegPeriod.</v>
      </c>
      <c r="H286" s="2">
        <f t="shared" si="22"/>
        <v>13</v>
      </c>
      <c r="I286" s="24">
        <f t="shared" si="26"/>
        <v>4</v>
      </c>
      <c r="J286" s="24">
        <f t="shared" si="27"/>
        <v>14</v>
      </c>
      <c r="K286" s="17">
        <f t="shared" si="23"/>
        <v>-9</v>
      </c>
      <c r="M286" s="15">
        <f t="shared" ca="1" si="24"/>
        <v>41305</v>
      </c>
      <c r="N286" s="15">
        <f t="shared" ca="1" si="25"/>
        <v>37652</v>
      </c>
      <c r="Z286" s="1"/>
    </row>
    <row r="287" spans="3:26" x14ac:dyDescent="0.2">
      <c r="C287" s="39"/>
      <c r="D287" s="39"/>
      <c r="E287" s="38">
        <f>[2]!expavg($T$9:$T$26,$R$9:$R$26,K287,H287)</f>
        <v>0.66945167850810816</v>
      </c>
      <c r="F287" s="38" t="str">
        <f>[2]!expavg2($T$9:$T$26,I287,J287,$R$9:$R$26)</f>
        <v>ERROR: Please use EndPeriod &lt; BegPeriod.</v>
      </c>
      <c r="H287" s="2">
        <f t="shared" si="22"/>
        <v>12</v>
      </c>
      <c r="I287" s="24">
        <f t="shared" si="26"/>
        <v>4</v>
      </c>
      <c r="J287" s="24">
        <f t="shared" si="27"/>
        <v>13</v>
      </c>
      <c r="K287" s="17">
        <f t="shared" si="23"/>
        <v>-8</v>
      </c>
      <c r="M287" s="15">
        <f t="shared" ca="1" si="24"/>
        <v>41305</v>
      </c>
      <c r="N287" s="15">
        <f t="shared" ca="1" si="25"/>
        <v>38017</v>
      </c>
      <c r="Z287" s="1"/>
    </row>
    <row r="288" spans="3:26" x14ac:dyDescent="0.2">
      <c r="C288" s="39"/>
      <c r="D288" s="39"/>
      <c r="E288" s="38">
        <f>[2]!expavg($T$9:$T$26,$R$9:$R$26,K288,H288)</f>
        <v>0.67904388723605558</v>
      </c>
      <c r="F288" s="38" t="str">
        <f>[2]!expavg2($T$9:$T$26,I288,J288,$R$9:$R$26)</f>
        <v>ERROR: Please use EndPeriod &lt; BegPeriod.</v>
      </c>
      <c r="H288" s="2">
        <f t="shared" si="22"/>
        <v>11</v>
      </c>
      <c r="I288" s="24">
        <f t="shared" si="26"/>
        <v>4</v>
      </c>
      <c r="J288" s="24">
        <f t="shared" si="27"/>
        <v>12</v>
      </c>
      <c r="K288" s="17">
        <f t="shared" si="23"/>
        <v>-7</v>
      </c>
      <c r="M288" s="15">
        <f t="shared" ca="1" si="24"/>
        <v>41305</v>
      </c>
      <c r="N288" s="15">
        <f t="shared" ca="1" si="25"/>
        <v>38383</v>
      </c>
      <c r="Z288" s="1"/>
    </row>
    <row r="289" spans="3:26" x14ac:dyDescent="0.2">
      <c r="C289" s="39"/>
      <c r="D289" s="39"/>
      <c r="E289" s="38">
        <f>[2]!expavg($T$9:$T$26,$R$9:$R$26,K289,H289)</f>
        <v>0.68957279758642287</v>
      </c>
      <c r="F289" s="38" t="str">
        <f>[2]!expavg2($T$9:$T$26,I289,J289,$R$9:$R$26)</f>
        <v>ERROR: Please use EndPeriod &lt; BegPeriod.</v>
      </c>
      <c r="H289" s="2">
        <f t="shared" si="22"/>
        <v>10</v>
      </c>
      <c r="I289" s="24">
        <f t="shared" si="26"/>
        <v>4</v>
      </c>
      <c r="J289" s="24">
        <f t="shared" si="27"/>
        <v>11</v>
      </c>
      <c r="K289" s="17">
        <f t="shared" si="23"/>
        <v>-6</v>
      </c>
      <c r="M289" s="15">
        <f t="shared" ca="1" si="24"/>
        <v>41305</v>
      </c>
      <c r="N289" s="15">
        <f t="shared" ca="1" si="25"/>
        <v>38748</v>
      </c>
      <c r="Z289" s="1"/>
    </row>
    <row r="290" spans="3:26" x14ac:dyDescent="0.2">
      <c r="C290" s="39"/>
      <c r="D290" s="39"/>
      <c r="E290" s="38">
        <f>[2]!expavg($T$9:$T$26,$R$9:$R$26,K290,H290)</f>
        <v>0.67160897630855276</v>
      </c>
      <c r="F290" s="38" t="str">
        <f>[2]!expavg2($T$9:$T$26,I290,J290,$R$9:$R$26)</f>
        <v>ERROR: Please use EndPeriod &lt; BegPeriod.</v>
      </c>
      <c r="H290" s="2">
        <f t="shared" si="22"/>
        <v>9</v>
      </c>
      <c r="I290" s="24">
        <f t="shared" si="26"/>
        <v>4</v>
      </c>
      <c r="J290" s="24">
        <f t="shared" si="27"/>
        <v>10</v>
      </c>
      <c r="K290" s="17">
        <f t="shared" si="23"/>
        <v>-5</v>
      </c>
      <c r="M290" s="15">
        <f t="shared" ca="1" si="24"/>
        <v>41305</v>
      </c>
      <c r="N290" s="15">
        <f t="shared" ca="1" si="25"/>
        <v>39113</v>
      </c>
      <c r="Z290" s="1"/>
    </row>
    <row r="291" spans="3:26" x14ac:dyDescent="0.2">
      <c r="C291" s="39"/>
      <c r="D291" s="39"/>
      <c r="E291" s="38">
        <f>[2]!expavg($T$9:$T$26,$R$9:$R$26,K291,H291)</f>
        <v>0.66527157980250695</v>
      </c>
      <c r="F291" s="38" t="str">
        <f>[2]!expavg2($T$9:$T$26,I291,J291,$R$9:$R$26)</f>
        <v>ERROR: Please use EndPeriod &lt; BegPeriod.</v>
      </c>
      <c r="H291" s="2">
        <f t="shared" si="22"/>
        <v>8</v>
      </c>
      <c r="I291" s="24">
        <f t="shared" si="26"/>
        <v>4</v>
      </c>
      <c r="J291" s="24">
        <f t="shared" si="27"/>
        <v>9</v>
      </c>
      <c r="K291" s="17">
        <f t="shared" si="23"/>
        <v>-4</v>
      </c>
      <c r="M291" s="15">
        <f t="shared" ca="1" si="24"/>
        <v>41305</v>
      </c>
      <c r="N291" s="15">
        <f t="shared" ca="1" si="25"/>
        <v>39478</v>
      </c>
      <c r="Z291" s="1"/>
    </row>
    <row r="292" spans="3:26" x14ac:dyDescent="0.2">
      <c r="C292" s="39"/>
      <c r="D292" s="39"/>
      <c r="E292" s="38">
        <f>[2]!expavg($T$9:$T$26,$R$9:$R$26,K292,H292)</f>
        <v>0.68450987024306864</v>
      </c>
      <c r="F292" s="38" t="str">
        <f>[2]!expavg2($T$9:$T$26,I292,J292,$R$9:$R$26)</f>
        <v>ERROR: Please use EndPeriod &lt; BegPeriod.</v>
      </c>
      <c r="H292" s="2">
        <f t="shared" ref="H292:H355" si="28">J292-1</f>
        <v>7</v>
      </c>
      <c r="I292" s="24">
        <f t="shared" si="26"/>
        <v>4</v>
      </c>
      <c r="J292" s="24">
        <f t="shared" si="27"/>
        <v>8</v>
      </c>
      <c r="K292" s="17">
        <f t="shared" ref="K292:K355" si="29">I292-J292+1</f>
        <v>-3</v>
      </c>
      <c r="M292" s="15">
        <f t="shared" ref="M292:M355" ca="1" si="30">OFFSET($P$27,-I292,0)</f>
        <v>41305</v>
      </c>
      <c r="N292" s="15">
        <f t="shared" ref="N292:N355" ca="1" si="31">OFFSET($P$27,-J292,0)</f>
        <v>39844</v>
      </c>
      <c r="Z292" s="1"/>
    </row>
    <row r="293" spans="3:26" x14ac:dyDescent="0.2">
      <c r="C293" s="39"/>
      <c r="D293" s="39"/>
      <c r="E293" s="38">
        <f>[2]!expavg($T$9:$T$26,$R$9:$R$26,K293,H293)</f>
        <v>0.67627397338659268</v>
      </c>
      <c r="F293" s="38" t="str">
        <f>[2]!expavg2($T$9:$T$26,I293,J293,$R$9:$R$26)</f>
        <v>ERROR: Please use EndPeriod &lt; BegPeriod.</v>
      </c>
      <c r="H293" s="2">
        <f t="shared" si="28"/>
        <v>6</v>
      </c>
      <c r="I293" s="24">
        <f t="shared" si="26"/>
        <v>4</v>
      </c>
      <c r="J293" s="24">
        <f t="shared" si="27"/>
        <v>7</v>
      </c>
      <c r="K293" s="17">
        <f t="shared" si="29"/>
        <v>-2</v>
      </c>
      <c r="M293" s="15">
        <f t="shared" ca="1" si="30"/>
        <v>41305</v>
      </c>
      <c r="N293" s="15">
        <f t="shared" ca="1" si="31"/>
        <v>40209</v>
      </c>
      <c r="Z293" s="1"/>
    </row>
    <row r="294" spans="3:26" x14ac:dyDescent="0.2">
      <c r="C294" s="39"/>
      <c r="D294" s="39"/>
      <c r="E294" s="38">
        <f>[2]!expavg($T$9:$T$26,$R$9:$R$26,K294,H294)</f>
        <v>0.66006899259190965</v>
      </c>
      <c r="F294" s="38" t="str">
        <f>[2]!expavg2($T$9:$T$26,I294,J294,$R$9:$R$26)</f>
        <v>ERROR: Please use EndPeriod &lt; BegPeriod.</v>
      </c>
      <c r="H294" s="2">
        <f t="shared" si="28"/>
        <v>5</v>
      </c>
      <c r="I294" s="24">
        <f t="shared" si="26"/>
        <v>4</v>
      </c>
      <c r="J294" s="24">
        <f t="shared" si="27"/>
        <v>6</v>
      </c>
      <c r="K294" s="17">
        <f t="shared" si="29"/>
        <v>-1</v>
      </c>
      <c r="M294" s="15">
        <f t="shared" ca="1" si="30"/>
        <v>41305</v>
      </c>
      <c r="N294" s="15">
        <f t="shared" ca="1" si="31"/>
        <v>40574</v>
      </c>
      <c r="Z294" s="1"/>
    </row>
    <row r="295" spans="3:26" x14ac:dyDescent="0.2">
      <c r="C295" s="39"/>
      <c r="D295" s="39"/>
      <c r="E295" s="38">
        <f>[2]!expavg($T$9:$T$26,$R$9:$R$26,K295,H295)</f>
        <v>0.64048216018789683</v>
      </c>
      <c r="F295" s="38" t="str">
        <f>[2]!expavg2($T$9:$T$26,I295,J295,$R$9:$R$26)</f>
        <v>ERROR: Please use EndPeriod &lt; BegPeriod.</v>
      </c>
      <c r="H295" s="2">
        <f t="shared" si="28"/>
        <v>4</v>
      </c>
      <c r="I295" s="24">
        <f t="shared" si="26"/>
        <v>4</v>
      </c>
      <c r="J295" s="24">
        <f t="shared" si="27"/>
        <v>5</v>
      </c>
      <c r="K295" s="17">
        <f t="shared" si="29"/>
        <v>0</v>
      </c>
      <c r="M295" s="15">
        <f t="shared" ca="1" si="30"/>
        <v>41305</v>
      </c>
      <c r="N295" s="15">
        <f t="shared" ca="1" si="31"/>
        <v>40939</v>
      </c>
      <c r="Z295" s="1"/>
    </row>
    <row r="296" spans="3:26" x14ac:dyDescent="0.2">
      <c r="C296" s="39"/>
      <c r="D296" s="39"/>
      <c r="E296" s="38">
        <f>[2]!expavg($T$9:$T$26,$R$9:$R$26,K296,H296)</f>
        <v>0.49317121373703759</v>
      </c>
      <c r="F296" s="38">
        <f>[2]!expavg2($T$9:$T$26,I296,J296,$R$9:$R$26)</f>
        <v>0.49317121373703759</v>
      </c>
      <c r="H296" s="2">
        <f t="shared" si="28"/>
        <v>3</v>
      </c>
      <c r="I296" s="24">
        <f t="shared" si="26"/>
        <v>4</v>
      </c>
      <c r="J296" s="24">
        <f t="shared" si="27"/>
        <v>4</v>
      </c>
      <c r="K296" s="17">
        <f t="shared" si="29"/>
        <v>1</v>
      </c>
      <c r="M296" s="15">
        <f t="shared" ca="1" si="30"/>
        <v>41305</v>
      </c>
      <c r="N296" s="15">
        <f t="shared" ca="1" si="31"/>
        <v>41305</v>
      </c>
      <c r="Z296" s="1"/>
    </row>
    <row r="297" spans="3:26" x14ac:dyDescent="0.2">
      <c r="C297" s="39"/>
      <c r="D297" s="39"/>
      <c r="E297" s="38">
        <f>[2]!expavg($T$9:$T$26,$R$9:$R$26,K297,H297)</f>
        <v>0.51072367104539051</v>
      </c>
      <c r="F297" s="38">
        <f>[2]!expavg2($T$9:$T$26,I297,J297,$R$9:$R$26)</f>
        <v>0.51072367104539051</v>
      </c>
      <c r="H297" s="2">
        <f t="shared" si="28"/>
        <v>2</v>
      </c>
      <c r="I297" s="24">
        <f t="shared" si="26"/>
        <v>4</v>
      </c>
      <c r="J297" s="24">
        <f t="shared" si="27"/>
        <v>3</v>
      </c>
      <c r="K297" s="17">
        <f t="shared" si="29"/>
        <v>2</v>
      </c>
      <c r="M297" s="15">
        <f t="shared" ca="1" si="30"/>
        <v>41305</v>
      </c>
      <c r="N297" s="15">
        <f t="shared" ca="1" si="31"/>
        <v>41670</v>
      </c>
      <c r="Z297" s="1"/>
    </row>
    <row r="298" spans="3:26" x14ac:dyDescent="0.2">
      <c r="C298" s="39"/>
      <c r="D298" s="39"/>
      <c r="E298" s="38">
        <f>[2]!expavg($T$9:$T$26,$R$9:$R$26,K298,H298)</f>
        <v>0.48749594013410408</v>
      </c>
      <c r="F298" s="38">
        <f>[2]!expavg2($T$9:$T$26,I298,J298,$R$9:$R$26)</f>
        <v>0.48749594013410408</v>
      </c>
      <c r="H298" s="2">
        <f t="shared" si="28"/>
        <v>1</v>
      </c>
      <c r="I298" s="24">
        <f t="shared" si="26"/>
        <v>4</v>
      </c>
      <c r="J298" s="24">
        <f t="shared" si="27"/>
        <v>2</v>
      </c>
      <c r="K298" s="17">
        <f t="shared" si="29"/>
        <v>3</v>
      </c>
      <c r="M298" s="15">
        <f t="shared" ca="1" si="30"/>
        <v>41305</v>
      </c>
      <c r="N298" s="15">
        <f t="shared" ca="1" si="31"/>
        <v>42035</v>
      </c>
      <c r="Z298" s="1"/>
    </row>
    <row r="299" spans="3:26" x14ac:dyDescent="0.2">
      <c r="C299" s="39"/>
      <c r="D299" s="39"/>
      <c r="E299" s="38">
        <f>[2]!expavg($T$9:$T$26,$R$9:$R$26,K299,H299)</f>
        <v>0.50096516889839471</v>
      </c>
      <c r="F299" s="38">
        <f>[2]!expavg2($T$9:$T$26,I299,J299,$R$9:$R$26)</f>
        <v>0.50096516889839471</v>
      </c>
      <c r="H299" s="2">
        <f t="shared" si="28"/>
        <v>0</v>
      </c>
      <c r="I299" s="24">
        <f t="shared" si="26"/>
        <v>4</v>
      </c>
      <c r="J299" s="24">
        <f t="shared" si="27"/>
        <v>1</v>
      </c>
      <c r="K299" s="17">
        <f t="shared" si="29"/>
        <v>4</v>
      </c>
      <c r="M299" s="15">
        <f t="shared" ca="1" si="30"/>
        <v>41305</v>
      </c>
      <c r="N299" s="15">
        <f t="shared" ca="1" si="31"/>
        <v>42400</v>
      </c>
      <c r="Z299" s="1"/>
    </row>
    <row r="300" spans="3:26" x14ac:dyDescent="0.2">
      <c r="C300" s="39"/>
      <c r="D300" s="39"/>
      <c r="E300" s="38">
        <f>[2]!expavg($T$9:$T$26,$R$9:$R$26,K300,H300)</f>
        <v>0.49721372859125973</v>
      </c>
      <c r="F300" s="38" t="str">
        <f>[2]!expavg2($T$9:$T$26,I300,J300,$R$9:$R$26)</f>
        <v>ERROR: Please use EndPeriod &gt;= 1.</v>
      </c>
      <c r="H300" s="2">
        <f t="shared" si="28"/>
        <v>-1</v>
      </c>
      <c r="I300" s="24">
        <f t="shared" si="26"/>
        <v>4</v>
      </c>
      <c r="J300" s="24">
        <f t="shared" si="27"/>
        <v>0</v>
      </c>
      <c r="K300" s="17">
        <f t="shared" si="29"/>
        <v>5</v>
      </c>
      <c r="M300" s="15">
        <f t="shared" ca="1" si="30"/>
        <v>41305</v>
      </c>
      <c r="N300" s="15">
        <f t="shared" ca="1" si="31"/>
        <v>0</v>
      </c>
      <c r="Z300" s="1"/>
    </row>
    <row r="301" spans="3:26" x14ac:dyDescent="0.2">
      <c r="C301" s="39"/>
      <c r="D301" s="39"/>
      <c r="E301" s="38">
        <f>[2]!expavg($T$9:$T$26,$R$9:$R$26,K301,H301)</f>
        <v>0.49979088215816814</v>
      </c>
      <c r="F301" s="38" t="str">
        <f>[2]!expavg2($T$9:$T$26,I301,J301,$R$9:$R$26)</f>
        <v>ERROR: Please use EndPeriod &gt;= 1.</v>
      </c>
      <c r="H301" s="2">
        <f t="shared" si="28"/>
        <v>-2</v>
      </c>
      <c r="I301" s="24">
        <f t="shared" si="26"/>
        <v>4</v>
      </c>
      <c r="J301" s="24">
        <f t="shared" si="27"/>
        <v>-1</v>
      </c>
      <c r="K301" s="17">
        <f t="shared" si="29"/>
        <v>6</v>
      </c>
      <c r="M301" s="15">
        <f t="shared" ca="1" si="30"/>
        <v>41305</v>
      </c>
      <c r="N301" s="15">
        <f t="shared" ca="1" si="31"/>
        <v>0</v>
      </c>
      <c r="Z301" s="1"/>
    </row>
    <row r="302" spans="3:26" x14ac:dyDescent="0.2">
      <c r="C302" s="39"/>
      <c r="D302" s="39"/>
      <c r="E302" s="38">
        <f>[2]!expavg($T$9:$T$26,$R$9:$R$26,K302,H302)</f>
        <v>0.70939186407915755</v>
      </c>
      <c r="F302" s="38" t="str">
        <f>[2]!expavg2($T$9:$T$26,I302,J302,$R$9:$R$26)</f>
        <v>ERROR: Please use EndPeriod &lt; BegPeriod.</v>
      </c>
      <c r="H302" s="2">
        <f t="shared" si="28"/>
        <v>14</v>
      </c>
      <c r="I302" s="24">
        <f t="shared" si="26"/>
        <v>3</v>
      </c>
      <c r="J302" s="24">
        <f t="shared" si="27"/>
        <v>15</v>
      </c>
      <c r="K302" s="17">
        <f t="shared" si="29"/>
        <v>-11</v>
      </c>
      <c r="M302" s="15">
        <f t="shared" ca="1" si="30"/>
        <v>41670</v>
      </c>
      <c r="N302" s="15">
        <f t="shared" ca="1" si="31"/>
        <v>37287</v>
      </c>
      <c r="Z302" s="1"/>
    </row>
    <row r="303" spans="3:26" x14ac:dyDescent="0.2">
      <c r="C303" s="39"/>
      <c r="D303" s="39"/>
      <c r="E303" s="38">
        <f>[2]!expavg($T$9:$T$26,$R$9:$R$26,K303,H303)</f>
        <v>0.67177139323204882</v>
      </c>
      <c r="F303" s="38" t="str">
        <f>[2]!expavg2($T$9:$T$26,I303,J303,$R$9:$R$26)</f>
        <v>ERROR: Please use EndPeriod &lt; BegPeriod.</v>
      </c>
      <c r="H303" s="2">
        <f t="shared" si="28"/>
        <v>13</v>
      </c>
      <c r="I303" s="24">
        <f t="shared" si="26"/>
        <v>3</v>
      </c>
      <c r="J303" s="24">
        <f t="shared" si="27"/>
        <v>14</v>
      </c>
      <c r="K303" s="17">
        <f t="shared" si="29"/>
        <v>-10</v>
      </c>
      <c r="M303" s="15">
        <f t="shared" ca="1" si="30"/>
        <v>41670</v>
      </c>
      <c r="N303" s="15">
        <f t="shared" ca="1" si="31"/>
        <v>37652</v>
      </c>
      <c r="Z303" s="1"/>
    </row>
    <row r="304" spans="3:26" x14ac:dyDescent="0.2">
      <c r="C304" s="39"/>
      <c r="D304" s="39"/>
      <c r="E304" s="38">
        <f>[2]!expavg($T$9:$T$26,$R$9:$R$26,K304,H304)</f>
        <v>0.66945167850810816</v>
      </c>
      <c r="F304" s="38" t="str">
        <f>[2]!expavg2($T$9:$T$26,I304,J304,$R$9:$R$26)</f>
        <v>ERROR: Please use EndPeriod &lt; BegPeriod.</v>
      </c>
      <c r="H304" s="2">
        <f t="shared" si="28"/>
        <v>12</v>
      </c>
      <c r="I304" s="24">
        <f t="shared" si="26"/>
        <v>3</v>
      </c>
      <c r="J304" s="24">
        <f t="shared" si="27"/>
        <v>13</v>
      </c>
      <c r="K304" s="17">
        <f t="shared" si="29"/>
        <v>-9</v>
      </c>
      <c r="M304" s="15">
        <f t="shared" ca="1" si="30"/>
        <v>41670</v>
      </c>
      <c r="N304" s="15">
        <f t="shared" ca="1" si="31"/>
        <v>38017</v>
      </c>
      <c r="Z304" s="1"/>
    </row>
    <row r="305" spans="3:26" x14ac:dyDescent="0.2">
      <c r="C305" s="39"/>
      <c r="D305" s="39"/>
      <c r="E305" s="38">
        <f>[2]!expavg($T$9:$T$26,$R$9:$R$26,K305,H305)</f>
        <v>0.67904388723605558</v>
      </c>
      <c r="F305" s="38" t="str">
        <f>[2]!expavg2($T$9:$T$26,I305,J305,$R$9:$R$26)</f>
        <v>ERROR: Please use EndPeriod &lt; BegPeriod.</v>
      </c>
      <c r="H305" s="2">
        <f t="shared" si="28"/>
        <v>11</v>
      </c>
      <c r="I305" s="24">
        <f t="shared" si="26"/>
        <v>3</v>
      </c>
      <c r="J305" s="24">
        <f t="shared" si="27"/>
        <v>12</v>
      </c>
      <c r="K305" s="17">
        <f t="shared" si="29"/>
        <v>-8</v>
      </c>
      <c r="M305" s="15">
        <f t="shared" ca="1" si="30"/>
        <v>41670</v>
      </c>
      <c r="N305" s="15">
        <f t="shared" ca="1" si="31"/>
        <v>38383</v>
      </c>
      <c r="Z305" s="1"/>
    </row>
    <row r="306" spans="3:26" x14ac:dyDescent="0.2">
      <c r="C306" s="39"/>
      <c r="D306" s="39"/>
      <c r="E306" s="38">
        <f>[2]!expavg($T$9:$T$26,$R$9:$R$26,K306,H306)</f>
        <v>0.68957279758642287</v>
      </c>
      <c r="F306" s="38" t="str">
        <f>[2]!expavg2($T$9:$T$26,I306,J306,$R$9:$R$26)</f>
        <v>ERROR: Please use EndPeriod &lt; BegPeriod.</v>
      </c>
      <c r="H306" s="2">
        <f t="shared" si="28"/>
        <v>10</v>
      </c>
      <c r="I306" s="24">
        <f t="shared" si="26"/>
        <v>3</v>
      </c>
      <c r="J306" s="24">
        <f t="shared" si="27"/>
        <v>11</v>
      </c>
      <c r="K306" s="17">
        <f t="shared" si="29"/>
        <v>-7</v>
      </c>
      <c r="M306" s="15">
        <f t="shared" ca="1" si="30"/>
        <v>41670</v>
      </c>
      <c r="N306" s="15">
        <f t="shared" ca="1" si="31"/>
        <v>38748</v>
      </c>
      <c r="Z306" s="1"/>
    </row>
    <row r="307" spans="3:26" x14ac:dyDescent="0.2">
      <c r="C307" s="39"/>
      <c r="D307" s="39"/>
      <c r="E307" s="38">
        <f>[2]!expavg($T$9:$T$26,$R$9:$R$26,K307,H307)</f>
        <v>0.67160897630855276</v>
      </c>
      <c r="F307" s="38" t="str">
        <f>[2]!expavg2($T$9:$T$26,I307,J307,$R$9:$R$26)</f>
        <v>ERROR: Please use EndPeriod &lt; BegPeriod.</v>
      </c>
      <c r="H307" s="2">
        <f t="shared" si="28"/>
        <v>9</v>
      </c>
      <c r="I307" s="24">
        <f t="shared" si="26"/>
        <v>3</v>
      </c>
      <c r="J307" s="24">
        <f t="shared" si="27"/>
        <v>10</v>
      </c>
      <c r="K307" s="17">
        <f t="shared" si="29"/>
        <v>-6</v>
      </c>
      <c r="M307" s="15">
        <f t="shared" ca="1" si="30"/>
        <v>41670</v>
      </c>
      <c r="N307" s="15">
        <f t="shared" ca="1" si="31"/>
        <v>39113</v>
      </c>
      <c r="Z307" s="1"/>
    </row>
    <row r="308" spans="3:26" x14ac:dyDescent="0.2">
      <c r="C308" s="39"/>
      <c r="D308" s="39"/>
      <c r="E308" s="38">
        <f>[2]!expavg($T$9:$T$26,$R$9:$R$26,K308,H308)</f>
        <v>0.66527157980250695</v>
      </c>
      <c r="F308" s="38" t="str">
        <f>[2]!expavg2($T$9:$T$26,I308,J308,$R$9:$R$26)</f>
        <v>ERROR: Please use EndPeriod &lt; BegPeriod.</v>
      </c>
      <c r="H308" s="2">
        <f t="shared" si="28"/>
        <v>8</v>
      </c>
      <c r="I308" s="24">
        <f t="shared" ref="I308:I371" si="32">I291-1</f>
        <v>3</v>
      </c>
      <c r="J308" s="24">
        <f t="shared" ref="J308:J371" si="33">J291</f>
        <v>9</v>
      </c>
      <c r="K308" s="17">
        <f t="shared" si="29"/>
        <v>-5</v>
      </c>
      <c r="M308" s="15">
        <f t="shared" ca="1" si="30"/>
        <v>41670</v>
      </c>
      <c r="N308" s="15">
        <f t="shared" ca="1" si="31"/>
        <v>39478</v>
      </c>
      <c r="Z308" s="1"/>
    </row>
    <row r="309" spans="3:26" x14ac:dyDescent="0.2">
      <c r="C309" s="39"/>
      <c r="D309" s="39"/>
      <c r="E309" s="38">
        <f>[2]!expavg($T$9:$T$26,$R$9:$R$26,K309,H309)</f>
        <v>0.68450987024306864</v>
      </c>
      <c r="F309" s="38" t="str">
        <f>[2]!expavg2($T$9:$T$26,I309,J309,$R$9:$R$26)</f>
        <v>ERROR: Please use EndPeriod &lt; BegPeriod.</v>
      </c>
      <c r="H309" s="2">
        <f t="shared" si="28"/>
        <v>7</v>
      </c>
      <c r="I309" s="24">
        <f t="shared" si="32"/>
        <v>3</v>
      </c>
      <c r="J309" s="24">
        <f t="shared" si="33"/>
        <v>8</v>
      </c>
      <c r="K309" s="17">
        <f t="shared" si="29"/>
        <v>-4</v>
      </c>
      <c r="M309" s="15">
        <f t="shared" ca="1" si="30"/>
        <v>41670</v>
      </c>
      <c r="N309" s="15">
        <f t="shared" ca="1" si="31"/>
        <v>39844</v>
      </c>
      <c r="Z309" s="1"/>
    </row>
    <row r="310" spans="3:26" x14ac:dyDescent="0.2">
      <c r="C310" s="39"/>
      <c r="D310" s="39"/>
      <c r="E310" s="38">
        <f>[2]!expavg($T$9:$T$26,$R$9:$R$26,K310,H310)</f>
        <v>0.67627397338659268</v>
      </c>
      <c r="F310" s="38" t="str">
        <f>[2]!expavg2($T$9:$T$26,I310,J310,$R$9:$R$26)</f>
        <v>ERROR: Please use EndPeriod &lt; BegPeriod.</v>
      </c>
      <c r="H310" s="2">
        <f t="shared" si="28"/>
        <v>6</v>
      </c>
      <c r="I310" s="24">
        <f t="shared" si="32"/>
        <v>3</v>
      </c>
      <c r="J310" s="24">
        <f t="shared" si="33"/>
        <v>7</v>
      </c>
      <c r="K310" s="17">
        <f t="shared" si="29"/>
        <v>-3</v>
      </c>
      <c r="M310" s="15">
        <f t="shared" ca="1" si="30"/>
        <v>41670</v>
      </c>
      <c r="N310" s="15">
        <f t="shared" ca="1" si="31"/>
        <v>40209</v>
      </c>
      <c r="Z310" s="1"/>
    </row>
    <row r="311" spans="3:26" x14ac:dyDescent="0.2">
      <c r="C311" s="39"/>
      <c r="D311" s="39"/>
      <c r="E311" s="38">
        <f>[2]!expavg($T$9:$T$26,$R$9:$R$26,K311,H311)</f>
        <v>0.66006899259190965</v>
      </c>
      <c r="F311" s="38" t="str">
        <f>[2]!expavg2($T$9:$T$26,I311,J311,$R$9:$R$26)</f>
        <v>ERROR: Please use EndPeriod &lt; BegPeriod.</v>
      </c>
      <c r="H311" s="2">
        <f t="shared" si="28"/>
        <v>5</v>
      </c>
      <c r="I311" s="24">
        <f t="shared" si="32"/>
        <v>3</v>
      </c>
      <c r="J311" s="24">
        <f t="shared" si="33"/>
        <v>6</v>
      </c>
      <c r="K311" s="17">
        <f t="shared" si="29"/>
        <v>-2</v>
      </c>
      <c r="M311" s="15">
        <f t="shared" ca="1" si="30"/>
        <v>41670</v>
      </c>
      <c r="N311" s="15">
        <f t="shared" ca="1" si="31"/>
        <v>40574</v>
      </c>
      <c r="Z311" s="1"/>
    </row>
    <row r="312" spans="3:26" x14ac:dyDescent="0.2">
      <c r="C312" s="39"/>
      <c r="D312" s="39"/>
      <c r="E312" s="38">
        <f>[2]!expavg($T$9:$T$26,$R$9:$R$26,K312,H312)</f>
        <v>0.64048216018789683</v>
      </c>
      <c r="F312" s="38" t="str">
        <f>[2]!expavg2($T$9:$T$26,I312,J312,$R$9:$R$26)</f>
        <v>ERROR: Please use EndPeriod &lt; BegPeriod.</v>
      </c>
      <c r="H312" s="2">
        <f t="shared" si="28"/>
        <v>4</v>
      </c>
      <c r="I312" s="24">
        <f t="shared" si="32"/>
        <v>3</v>
      </c>
      <c r="J312" s="24">
        <f t="shared" si="33"/>
        <v>5</v>
      </c>
      <c r="K312" s="17">
        <f t="shared" si="29"/>
        <v>-1</v>
      </c>
      <c r="M312" s="15">
        <f t="shared" ca="1" si="30"/>
        <v>41670</v>
      </c>
      <c r="N312" s="15">
        <f t="shared" ca="1" si="31"/>
        <v>40939</v>
      </c>
      <c r="Z312" s="1"/>
    </row>
    <row r="313" spans="3:26" x14ac:dyDescent="0.2">
      <c r="C313" s="39"/>
      <c r="D313" s="39"/>
      <c r="E313" s="38">
        <f>[2]!expavg($T$9:$T$26,$R$9:$R$26,K313,H313)</f>
        <v>0.62815488340610859</v>
      </c>
      <c r="F313" s="38" t="str">
        <f>[2]!expavg2($T$9:$T$26,I313,J313,$R$9:$R$26)</f>
        <v>ERROR: Please use EndPeriod &lt; BegPeriod.</v>
      </c>
      <c r="H313" s="2">
        <f t="shared" si="28"/>
        <v>3</v>
      </c>
      <c r="I313" s="24">
        <f t="shared" si="32"/>
        <v>3</v>
      </c>
      <c r="J313" s="24">
        <f t="shared" si="33"/>
        <v>4</v>
      </c>
      <c r="K313" s="17">
        <f t="shared" si="29"/>
        <v>0</v>
      </c>
      <c r="M313" s="15">
        <f t="shared" ca="1" si="30"/>
        <v>41670</v>
      </c>
      <c r="N313" s="15">
        <f t="shared" ca="1" si="31"/>
        <v>41305</v>
      </c>
      <c r="Z313" s="1"/>
    </row>
    <row r="314" spans="3:26" x14ac:dyDescent="0.2">
      <c r="C314" s="39"/>
      <c r="D314" s="39"/>
      <c r="E314" s="38">
        <f>[2]!expavg($T$9:$T$26,$R$9:$R$26,K314,H314)</f>
        <v>0.52820624492112289</v>
      </c>
      <c r="F314" s="38">
        <f>[2]!expavg2($T$9:$T$26,I314,J314,$R$9:$R$26)</f>
        <v>0.52820624492112289</v>
      </c>
      <c r="H314" s="2">
        <f t="shared" si="28"/>
        <v>2</v>
      </c>
      <c r="I314" s="24">
        <f t="shared" si="32"/>
        <v>3</v>
      </c>
      <c r="J314" s="24">
        <f t="shared" si="33"/>
        <v>3</v>
      </c>
      <c r="K314" s="17">
        <f t="shared" si="29"/>
        <v>1</v>
      </c>
      <c r="M314" s="15">
        <f t="shared" ca="1" si="30"/>
        <v>41670</v>
      </c>
      <c r="N314" s="15">
        <f t="shared" ca="1" si="31"/>
        <v>41670</v>
      </c>
      <c r="Z314" s="1"/>
    </row>
    <row r="315" spans="3:26" x14ac:dyDescent="0.2">
      <c r="C315" s="39"/>
      <c r="D315" s="39"/>
      <c r="E315" s="38">
        <f>[2]!expavg($T$9:$T$26,$R$9:$R$26,K315,H315)</f>
        <v>0.48466780355896311</v>
      </c>
      <c r="F315" s="38">
        <f>[2]!expavg2($T$9:$T$26,I315,J315,$R$9:$R$26)</f>
        <v>0.48466780355896311</v>
      </c>
      <c r="H315" s="2">
        <f t="shared" si="28"/>
        <v>1</v>
      </c>
      <c r="I315" s="24">
        <f t="shared" si="32"/>
        <v>3</v>
      </c>
      <c r="J315" s="24">
        <f t="shared" si="33"/>
        <v>2</v>
      </c>
      <c r="K315" s="17">
        <f t="shared" si="29"/>
        <v>2</v>
      </c>
      <c r="M315" s="15">
        <f t="shared" ca="1" si="30"/>
        <v>41670</v>
      </c>
      <c r="N315" s="15">
        <f t="shared" ca="1" si="31"/>
        <v>42035</v>
      </c>
      <c r="Z315" s="1"/>
    </row>
    <row r="316" spans="3:26" x14ac:dyDescent="0.2">
      <c r="C316" s="39"/>
      <c r="D316" s="39"/>
      <c r="E316" s="38">
        <f>[2]!expavg($T$9:$T$26,$R$9:$R$26,K316,H316)</f>
        <v>0.50377463553306268</v>
      </c>
      <c r="F316" s="38">
        <f>[2]!expavg2($T$9:$T$26,I316,J316,$R$9:$R$26)</f>
        <v>0.50377463553306268</v>
      </c>
      <c r="H316" s="2">
        <f t="shared" si="28"/>
        <v>0</v>
      </c>
      <c r="I316" s="24">
        <f t="shared" si="32"/>
        <v>3</v>
      </c>
      <c r="J316" s="24">
        <f t="shared" si="33"/>
        <v>1</v>
      </c>
      <c r="K316" s="17">
        <f t="shared" si="29"/>
        <v>3</v>
      </c>
      <c r="M316" s="15">
        <f t="shared" ca="1" si="30"/>
        <v>41670</v>
      </c>
      <c r="N316" s="15">
        <f t="shared" ca="1" si="31"/>
        <v>42400</v>
      </c>
      <c r="Z316" s="1"/>
    </row>
    <row r="317" spans="3:26" x14ac:dyDescent="0.2">
      <c r="C317" s="39"/>
      <c r="D317" s="39"/>
      <c r="E317" s="38">
        <f>[2]!expavg($T$9:$T$26,$R$9:$R$26,K317,H317)</f>
        <v>0.50096516889839471</v>
      </c>
      <c r="F317" s="38" t="str">
        <f>[2]!expavg2($T$9:$T$26,I317,J317,$R$9:$R$26)</f>
        <v>ERROR: Please use EndPeriod &gt;= 1.</v>
      </c>
      <c r="H317" s="2">
        <f t="shared" si="28"/>
        <v>-1</v>
      </c>
      <c r="I317" s="24">
        <f t="shared" si="32"/>
        <v>3</v>
      </c>
      <c r="J317" s="24">
        <f t="shared" si="33"/>
        <v>0</v>
      </c>
      <c r="K317" s="17">
        <f t="shared" si="29"/>
        <v>4</v>
      </c>
      <c r="M317" s="15">
        <f t="shared" ca="1" si="30"/>
        <v>41670</v>
      </c>
      <c r="N317" s="15">
        <f t="shared" ca="1" si="31"/>
        <v>0</v>
      </c>
      <c r="Z317" s="1"/>
    </row>
    <row r="318" spans="3:26" x14ac:dyDescent="0.2">
      <c r="C318" s="39"/>
      <c r="D318" s="39"/>
      <c r="E318" s="38">
        <f>[2]!expavg($T$9:$T$26,$R$9:$R$26,K318,H318)</f>
        <v>0.49721372859125973</v>
      </c>
      <c r="F318" s="38" t="str">
        <f>[2]!expavg2($T$9:$T$26,I318,J318,$R$9:$R$26)</f>
        <v>ERROR: Please use EndPeriod &gt;= 1.</v>
      </c>
      <c r="H318" s="2">
        <f t="shared" si="28"/>
        <v>-2</v>
      </c>
      <c r="I318" s="24">
        <f t="shared" si="32"/>
        <v>3</v>
      </c>
      <c r="J318" s="24">
        <f t="shared" si="33"/>
        <v>-1</v>
      </c>
      <c r="K318" s="17">
        <f t="shared" si="29"/>
        <v>5</v>
      </c>
      <c r="M318" s="15">
        <f t="shared" ca="1" si="30"/>
        <v>41670</v>
      </c>
      <c r="N318" s="15">
        <f t="shared" ca="1" si="31"/>
        <v>0</v>
      </c>
      <c r="Z318" s="1"/>
    </row>
    <row r="319" spans="3:26" x14ac:dyDescent="0.2">
      <c r="C319" s="39"/>
      <c r="D319" s="39"/>
      <c r="E319" s="38">
        <f>[2]!expavg($T$9:$T$26,$R$9:$R$26,K319,H319)</f>
        <v>0.70939186407915755</v>
      </c>
      <c r="F319" s="38" t="str">
        <f>[2]!expavg2($T$9:$T$26,I319,J319,$R$9:$R$26)</f>
        <v>ERROR: Please use EndPeriod &lt; BegPeriod.</v>
      </c>
      <c r="H319" s="2">
        <f t="shared" si="28"/>
        <v>14</v>
      </c>
      <c r="I319" s="24">
        <f t="shared" si="32"/>
        <v>2</v>
      </c>
      <c r="J319" s="24">
        <f t="shared" si="33"/>
        <v>15</v>
      </c>
      <c r="K319" s="17">
        <f t="shared" si="29"/>
        <v>-12</v>
      </c>
      <c r="M319" s="15">
        <f t="shared" ca="1" si="30"/>
        <v>42035</v>
      </c>
      <c r="N319" s="15">
        <f t="shared" ca="1" si="31"/>
        <v>37287</v>
      </c>
      <c r="Z319" s="1"/>
    </row>
    <row r="320" spans="3:26" x14ac:dyDescent="0.2">
      <c r="C320" s="39"/>
      <c r="D320" s="39"/>
      <c r="E320" s="38">
        <f>[2]!expavg($T$9:$T$26,$R$9:$R$26,K320,H320)</f>
        <v>0.67177139323204882</v>
      </c>
      <c r="F320" s="38" t="str">
        <f>[2]!expavg2($T$9:$T$26,I320,J320,$R$9:$R$26)</f>
        <v>ERROR: Please use EndPeriod &lt; BegPeriod.</v>
      </c>
      <c r="H320" s="2">
        <f t="shared" si="28"/>
        <v>13</v>
      </c>
      <c r="I320" s="24">
        <f t="shared" si="32"/>
        <v>2</v>
      </c>
      <c r="J320" s="24">
        <f t="shared" si="33"/>
        <v>14</v>
      </c>
      <c r="K320" s="17">
        <f t="shared" si="29"/>
        <v>-11</v>
      </c>
      <c r="M320" s="15">
        <f t="shared" ca="1" si="30"/>
        <v>42035</v>
      </c>
      <c r="N320" s="15">
        <f t="shared" ca="1" si="31"/>
        <v>37652</v>
      </c>
      <c r="Z320" s="1"/>
    </row>
    <row r="321" spans="3:26" x14ac:dyDescent="0.2">
      <c r="C321" s="39"/>
      <c r="D321" s="39"/>
      <c r="E321" s="38">
        <f>[2]!expavg($T$9:$T$26,$R$9:$R$26,K321,H321)</f>
        <v>0.66945167850810816</v>
      </c>
      <c r="F321" s="38" t="str">
        <f>[2]!expavg2($T$9:$T$26,I321,J321,$R$9:$R$26)</f>
        <v>ERROR: Please use EndPeriod &lt; BegPeriod.</v>
      </c>
      <c r="H321" s="2">
        <f t="shared" si="28"/>
        <v>12</v>
      </c>
      <c r="I321" s="24">
        <f t="shared" si="32"/>
        <v>2</v>
      </c>
      <c r="J321" s="24">
        <f t="shared" si="33"/>
        <v>13</v>
      </c>
      <c r="K321" s="17">
        <f t="shared" si="29"/>
        <v>-10</v>
      </c>
      <c r="M321" s="15">
        <f t="shared" ca="1" si="30"/>
        <v>42035</v>
      </c>
      <c r="N321" s="15">
        <f t="shared" ca="1" si="31"/>
        <v>38017</v>
      </c>
      <c r="Z321" s="1"/>
    </row>
    <row r="322" spans="3:26" x14ac:dyDescent="0.2">
      <c r="C322" s="39"/>
      <c r="D322" s="39"/>
      <c r="E322" s="38">
        <f>[2]!expavg($T$9:$T$26,$R$9:$R$26,K322,H322)</f>
        <v>0.67904388723605558</v>
      </c>
      <c r="F322" s="38" t="str">
        <f>[2]!expavg2($T$9:$T$26,I322,J322,$R$9:$R$26)</f>
        <v>ERROR: Please use EndPeriod &lt; BegPeriod.</v>
      </c>
      <c r="H322" s="2">
        <f t="shared" si="28"/>
        <v>11</v>
      </c>
      <c r="I322" s="24">
        <f t="shared" si="32"/>
        <v>2</v>
      </c>
      <c r="J322" s="24">
        <f t="shared" si="33"/>
        <v>12</v>
      </c>
      <c r="K322" s="17">
        <f t="shared" si="29"/>
        <v>-9</v>
      </c>
      <c r="M322" s="15">
        <f t="shared" ca="1" si="30"/>
        <v>42035</v>
      </c>
      <c r="N322" s="15">
        <f t="shared" ca="1" si="31"/>
        <v>38383</v>
      </c>
      <c r="Z322" s="1"/>
    </row>
    <row r="323" spans="3:26" x14ac:dyDescent="0.2">
      <c r="C323" s="39"/>
      <c r="D323" s="39"/>
      <c r="E323" s="38">
        <f>[2]!expavg($T$9:$T$26,$R$9:$R$26,K323,H323)</f>
        <v>0.68957279758642287</v>
      </c>
      <c r="F323" s="38" t="str">
        <f>[2]!expavg2($T$9:$T$26,I323,J323,$R$9:$R$26)</f>
        <v>ERROR: Please use EndPeriod &lt; BegPeriod.</v>
      </c>
      <c r="H323" s="2">
        <f t="shared" si="28"/>
        <v>10</v>
      </c>
      <c r="I323" s="24">
        <f t="shared" si="32"/>
        <v>2</v>
      </c>
      <c r="J323" s="24">
        <f t="shared" si="33"/>
        <v>11</v>
      </c>
      <c r="K323" s="17">
        <f t="shared" si="29"/>
        <v>-8</v>
      </c>
      <c r="M323" s="15">
        <f t="shared" ca="1" si="30"/>
        <v>42035</v>
      </c>
      <c r="N323" s="15">
        <f t="shared" ca="1" si="31"/>
        <v>38748</v>
      </c>
      <c r="Z323" s="1"/>
    </row>
    <row r="324" spans="3:26" x14ac:dyDescent="0.2">
      <c r="C324" s="39"/>
      <c r="D324" s="39"/>
      <c r="E324" s="38">
        <f>[2]!expavg($T$9:$T$26,$R$9:$R$26,K324,H324)</f>
        <v>0.67160897630855276</v>
      </c>
      <c r="F324" s="38" t="str">
        <f>[2]!expavg2($T$9:$T$26,I324,J324,$R$9:$R$26)</f>
        <v>ERROR: Please use EndPeriod &lt; BegPeriod.</v>
      </c>
      <c r="H324" s="2">
        <f t="shared" si="28"/>
        <v>9</v>
      </c>
      <c r="I324" s="24">
        <f t="shared" si="32"/>
        <v>2</v>
      </c>
      <c r="J324" s="24">
        <f t="shared" si="33"/>
        <v>10</v>
      </c>
      <c r="K324" s="17">
        <f t="shared" si="29"/>
        <v>-7</v>
      </c>
      <c r="M324" s="15">
        <f t="shared" ca="1" si="30"/>
        <v>42035</v>
      </c>
      <c r="N324" s="15">
        <f t="shared" ca="1" si="31"/>
        <v>39113</v>
      </c>
      <c r="Z324" s="1"/>
    </row>
    <row r="325" spans="3:26" x14ac:dyDescent="0.2">
      <c r="C325" s="39"/>
      <c r="D325" s="39"/>
      <c r="E325" s="38">
        <f>[2]!expavg($T$9:$T$26,$R$9:$R$26,K325,H325)</f>
        <v>0.66527157980250695</v>
      </c>
      <c r="F325" s="38" t="str">
        <f>[2]!expavg2($T$9:$T$26,I325,J325,$R$9:$R$26)</f>
        <v>ERROR: Please use EndPeriod &lt; BegPeriod.</v>
      </c>
      <c r="H325" s="2">
        <f t="shared" si="28"/>
        <v>8</v>
      </c>
      <c r="I325" s="24">
        <f t="shared" si="32"/>
        <v>2</v>
      </c>
      <c r="J325" s="24">
        <f t="shared" si="33"/>
        <v>9</v>
      </c>
      <c r="K325" s="17">
        <f t="shared" si="29"/>
        <v>-6</v>
      </c>
      <c r="M325" s="15">
        <f t="shared" ca="1" si="30"/>
        <v>42035</v>
      </c>
      <c r="N325" s="15">
        <f t="shared" ca="1" si="31"/>
        <v>39478</v>
      </c>
      <c r="Z325" s="1"/>
    </row>
    <row r="326" spans="3:26" x14ac:dyDescent="0.2">
      <c r="C326" s="39"/>
      <c r="D326" s="39"/>
      <c r="E326" s="38">
        <f>[2]!expavg($T$9:$T$26,$R$9:$R$26,K326,H326)</f>
        <v>0.68450987024306864</v>
      </c>
      <c r="F326" s="38" t="str">
        <f>[2]!expavg2($T$9:$T$26,I326,J326,$R$9:$R$26)</f>
        <v>ERROR: Please use EndPeriod &lt; BegPeriod.</v>
      </c>
      <c r="H326" s="2">
        <f t="shared" si="28"/>
        <v>7</v>
      </c>
      <c r="I326" s="24">
        <f t="shared" si="32"/>
        <v>2</v>
      </c>
      <c r="J326" s="24">
        <f t="shared" si="33"/>
        <v>8</v>
      </c>
      <c r="K326" s="17">
        <f t="shared" si="29"/>
        <v>-5</v>
      </c>
      <c r="M326" s="15">
        <f t="shared" ca="1" si="30"/>
        <v>42035</v>
      </c>
      <c r="N326" s="15">
        <f t="shared" ca="1" si="31"/>
        <v>39844</v>
      </c>
      <c r="Z326" s="1"/>
    </row>
    <row r="327" spans="3:26" x14ac:dyDescent="0.2">
      <c r="C327" s="39"/>
      <c r="D327" s="39"/>
      <c r="E327" s="38">
        <f>[2]!expavg($T$9:$T$26,$R$9:$R$26,K327,H327)</f>
        <v>0.67627397338659268</v>
      </c>
      <c r="F327" s="38" t="str">
        <f>[2]!expavg2($T$9:$T$26,I327,J327,$R$9:$R$26)</f>
        <v>ERROR: Please use EndPeriod &lt; BegPeriod.</v>
      </c>
      <c r="H327" s="2">
        <f t="shared" si="28"/>
        <v>6</v>
      </c>
      <c r="I327" s="24">
        <f t="shared" si="32"/>
        <v>2</v>
      </c>
      <c r="J327" s="24">
        <f t="shared" si="33"/>
        <v>7</v>
      </c>
      <c r="K327" s="17">
        <f t="shared" si="29"/>
        <v>-4</v>
      </c>
      <c r="M327" s="15">
        <f t="shared" ca="1" si="30"/>
        <v>42035</v>
      </c>
      <c r="N327" s="15">
        <f t="shared" ca="1" si="31"/>
        <v>40209</v>
      </c>
      <c r="Z327" s="1"/>
    </row>
    <row r="328" spans="3:26" x14ac:dyDescent="0.2">
      <c r="C328" s="39"/>
      <c r="D328" s="39"/>
      <c r="E328" s="38">
        <f>[2]!expavg($T$9:$T$26,$R$9:$R$26,K328,H328)</f>
        <v>0.66006899259190965</v>
      </c>
      <c r="F328" s="38" t="str">
        <f>[2]!expavg2($T$9:$T$26,I328,J328,$R$9:$R$26)</f>
        <v>ERROR: Please use EndPeriod &lt; BegPeriod.</v>
      </c>
      <c r="H328" s="2">
        <f t="shared" si="28"/>
        <v>5</v>
      </c>
      <c r="I328" s="24">
        <f t="shared" si="32"/>
        <v>2</v>
      </c>
      <c r="J328" s="24">
        <f t="shared" si="33"/>
        <v>6</v>
      </c>
      <c r="K328" s="17">
        <f t="shared" si="29"/>
        <v>-3</v>
      </c>
      <c r="M328" s="15">
        <f t="shared" ca="1" si="30"/>
        <v>42035</v>
      </c>
      <c r="N328" s="15">
        <f t="shared" ca="1" si="31"/>
        <v>40574</v>
      </c>
      <c r="Z328" s="1"/>
    </row>
    <row r="329" spans="3:26" x14ac:dyDescent="0.2">
      <c r="C329" s="39"/>
      <c r="D329" s="39"/>
      <c r="E329" s="38">
        <f>[2]!expavg($T$9:$T$26,$R$9:$R$26,K329,H329)</f>
        <v>0.64048216018789683</v>
      </c>
      <c r="F329" s="38" t="str">
        <f>[2]!expavg2($T$9:$T$26,I329,J329,$R$9:$R$26)</f>
        <v>ERROR: Please use EndPeriod &lt; BegPeriod.</v>
      </c>
      <c r="H329" s="2">
        <f t="shared" si="28"/>
        <v>4</v>
      </c>
      <c r="I329" s="24">
        <f t="shared" si="32"/>
        <v>2</v>
      </c>
      <c r="J329" s="24">
        <f t="shared" si="33"/>
        <v>5</v>
      </c>
      <c r="K329" s="17">
        <f t="shared" si="29"/>
        <v>-2</v>
      </c>
      <c r="M329" s="15">
        <f t="shared" ca="1" si="30"/>
        <v>42035</v>
      </c>
      <c r="N329" s="15">
        <f t="shared" ca="1" si="31"/>
        <v>40939</v>
      </c>
      <c r="Z329" s="1"/>
    </row>
    <row r="330" spans="3:26" x14ac:dyDescent="0.2">
      <c r="C330" s="39"/>
      <c r="D330" s="39"/>
      <c r="E330" s="38">
        <f>[2]!expavg($T$9:$T$26,$R$9:$R$26,K330,H330)</f>
        <v>0.62815488340610859</v>
      </c>
      <c r="F330" s="38" t="str">
        <f>[2]!expavg2($T$9:$T$26,I330,J330,$R$9:$R$26)</f>
        <v>ERROR: Please use EndPeriod &lt; BegPeriod.</v>
      </c>
      <c r="H330" s="2">
        <f t="shared" si="28"/>
        <v>3</v>
      </c>
      <c r="I330" s="24">
        <f t="shared" si="32"/>
        <v>2</v>
      </c>
      <c r="J330" s="24">
        <f t="shared" si="33"/>
        <v>4</v>
      </c>
      <c r="K330" s="17">
        <f t="shared" si="29"/>
        <v>-1</v>
      </c>
      <c r="M330" s="15">
        <f t="shared" ca="1" si="30"/>
        <v>42035</v>
      </c>
      <c r="N330" s="15">
        <f t="shared" ca="1" si="31"/>
        <v>41305</v>
      </c>
      <c r="Z330" s="1"/>
    </row>
    <row r="331" spans="3:26" x14ac:dyDescent="0.2">
      <c r="C331" s="39"/>
      <c r="D331" s="39"/>
      <c r="E331" s="38">
        <f>[2]!expavg($T$9:$T$26,$R$9:$R$26,K331,H331)</f>
        <v>0.62040838094689943</v>
      </c>
      <c r="F331" s="38" t="str">
        <f>[2]!expavg2($T$9:$T$26,I331,J331,$R$9:$R$26)</f>
        <v>ERROR: Please use EndPeriod &lt; BegPeriod.</v>
      </c>
      <c r="H331" s="2">
        <f t="shared" si="28"/>
        <v>2</v>
      </c>
      <c r="I331" s="24">
        <f t="shared" si="32"/>
        <v>2</v>
      </c>
      <c r="J331" s="24">
        <f t="shared" si="33"/>
        <v>3</v>
      </c>
      <c r="K331" s="17">
        <f t="shared" si="29"/>
        <v>0</v>
      </c>
      <c r="M331" s="15">
        <f t="shared" ca="1" si="30"/>
        <v>42035</v>
      </c>
      <c r="N331" s="15">
        <f t="shared" ca="1" si="31"/>
        <v>41670</v>
      </c>
      <c r="Z331" s="1"/>
    </row>
    <row r="332" spans="3:26" x14ac:dyDescent="0.2">
      <c r="C332" s="39"/>
      <c r="D332" s="39"/>
      <c r="E332" s="38">
        <f>[2]!expavg($T$9:$T$26,$R$9:$R$26,K332,H332)</f>
        <v>0.44107394599288524</v>
      </c>
      <c r="F332" s="38">
        <f>[2]!expavg2($T$9:$T$26,I332,J332,$R$9:$R$26)</f>
        <v>0.44107394599288524</v>
      </c>
      <c r="H332" s="2">
        <f t="shared" si="28"/>
        <v>1</v>
      </c>
      <c r="I332" s="24">
        <f t="shared" si="32"/>
        <v>2</v>
      </c>
      <c r="J332" s="24">
        <f t="shared" si="33"/>
        <v>2</v>
      </c>
      <c r="K332" s="17">
        <f t="shared" si="29"/>
        <v>1</v>
      </c>
      <c r="M332" s="15">
        <f t="shared" ca="1" si="30"/>
        <v>42035</v>
      </c>
      <c r="N332" s="15">
        <f t="shared" ca="1" si="31"/>
        <v>42035</v>
      </c>
      <c r="Z332" s="1"/>
    </row>
    <row r="333" spans="3:26" x14ac:dyDescent="0.2">
      <c r="C333" s="39"/>
      <c r="D333" s="39"/>
      <c r="E333" s="38">
        <f>[2]!expavg($T$9:$T$26,$R$9:$R$26,K333,H333)</f>
        <v>0.48991769026040066</v>
      </c>
      <c r="F333" s="38">
        <f>[2]!expavg2($T$9:$T$26,I333,J333,$R$9:$R$26)</f>
        <v>0.48991769026040066</v>
      </c>
      <c r="H333" s="2">
        <f t="shared" si="28"/>
        <v>0</v>
      </c>
      <c r="I333" s="24">
        <f t="shared" si="32"/>
        <v>2</v>
      </c>
      <c r="J333" s="24">
        <f t="shared" si="33"/>
        <v>1</v>
      </c>
      <c r="K333" s="17">
        <f t="shared" si="29"/>
        <v>2</v>
      </c>
      <c r="M333" s="15">
        <f t="shared" ca="1" si="30"/>
        <v>42035</v>
      </c>
      <c r="N333" s="15">
        <f t="shared" ca="1" si="31"/>
        <v>42400</v>
      </c>
      <c r="Z333" s="1"/>
    </row>
    <row r="334" spans="3:26" x14ac:dyDescent="0.2">
      <c r="C334" s="39"/>
      <c r="D334" s="39"/>
      <c r="E334" s="38">
        <f>[2]!expavg($T$9:$T$26,$R$9:$R$26,K334,H334)</f>
        <v>0.50377463553306268</v>
      </c>
      <c r="F334" s="38" t="str">
        <f>[2]!expavg2($T$9:$T$26,I334,J334,$R$9:$R$26)</f>
        <v>ERROR: Please use EndPeriod &gt;= 1.</v>
      </c>
      <c r="H334" s="2">
        <f t="shared" si="28"/>
        <v>-1</v>
      </c>
      <c r="I334" s="24">
        <f t="shared" si="32"/>
        <v>2</v>
      </c>
      <c r="J334" s="24">
        <f t="shared" si="33"/>
        <v>0</v>
      </c>
      <c r="K334" s="17">
        <f t="shared" si="29"/>
        <v>3</v>
      </c>
      <c r="M334" s="15">
        <f t="shared" ca="1" si="30"/>
        <v>42035</v>
      </c>
      <c r="N334" s="15">
        <f t="shared" ca="1" si="31"/>
        <v>0</v>
      </c>
      <c r="Z334" s="1"/>
    </row>
    <row r="335" spans="3:26" x14ac:dyDescent="0.2">
      <c r="C335" s="39"/>
      <c r="D335" s="39"/>
      <c r="E335" s="38">
        <f>[2]!expavg($T$9:$T$26,$R$9:$R$26,K335,H335)</f>
        <v>0.50096516889839471</v>
      </c>
      <c r="F335" s="38" t="str">
        <f>[2]!expavg2($T$9:$T$26,I335,J335,$R$9:$R$26)</f>
        <v>ERROR: Please use EndPeriod &gt;= 1.</v>
      </c>
      <c r="H335" s="2">
        <f t="shared" si="28"/>
        <v>-2</v>
      </c>
      <c r="I335" s="24">
        <f t="shared" si="32"/>
        <v>2</v>
      </c>
      <c r="J335" s="24">
        <f t="shared" si="33"/>
        <v>-1</v>
      </c>
      <c r="K335" s="17">
        <f t="shared" si="29"/>
        <v>4</v>
      </c>
      <c r="M335" s="15">
        <f t="shared" ca="1" si="30"/>
        <v>42035</v>
      </c>
      <c r="N335" s="15">
        <f t="shared" ca="1" si="31"/>
        <v>0</v>
      </c>
      <c r="Z335" s="1"/>
    </row>
    <row r="336" spans="3:26" x14ac:dyDescent="0.2">
      <c r="C336" s="39"/>
      <c r="D336" s="39"/>
      <c r="E336" s="38">
        <f>[2]!expavg($T$9:$T$26,$R$9:$R$26,K336,H336)</f>
        <v>0.70939186407915755</v>
      </c>
      <c r="F336" s="38" t="str">
        <f>[2]!expavg2($T$9:$T$26,I336,J336,$R$9:$R$26)</f>
        <v>ERROR: Please use EndPeriod &lt; BegPeriod.</v>
      </c>
      <c r="H336" s="2">
        <f t="shared" si="28"/>
        <v>14</v>
      </c>
      <c r="I336" s="24">
        <f t="shared" si="32"/>
        <v>1</v>
      </c>
      <c r="J336" s="24">
        <f t="shared" si="33"/>
        <v>15</v>
      </c>
      <c r="K336" s="17">
        <f t="shared" si="29"/>
        <v>-13</v>
      </c>
      <c r="M336" s="15">
        <f t="shared" ca="1" si="30"/>
        <v>42400</v>
      </c>
      <c r="N336" s="15">
        <f t="shared" ca="1" si="31"/>
        <v>37287</v>
      </c>
      <c r="Z336" s="1"/>
    </row>
    <row r="337" spans="3:26" x14ac:dyDescent="0.2">
      <c r="C337" s="39"/>
      <c r="D337" s="39"/>
      <c r="E337" s="38">
        <f>[2]!expavg($T$9:$T$26,$R$9:$R$26,K337,H337)</f>
        <v>0.67177139323204882</v>
      </c>
      <c r="F337" s="38" t="str">
        <f>[2]!expavg2($T$9:$T$26,I337,J337,$R$9:$R$26)</f>
        <v>ERROR: Please use EndPeriod &lt; BegPeriod.</v>
      </c>
      <c r="H337" s="2">
        <f t="shared" si="28"/>
        <v>13</v>
      </c>
      <c r="I337" s="24">
        <f t="shared" si="32"/>
        <v>1</v>
      </c>
      <c r="J337" s="24">
        <f t="shared" si="33"/>
        <v>14</v>
      </c>
      <c r="K337" s="17">
        <f t="shared" si="29"/>
        <v>-12</v>
      </c>
      <c r="M337" s="15">
        <f t="shared" ca="1" si="30"/>
        <v>42400</v>
      </c>
      <c r="N337" s="15">
        <f t="shared" ca="1" si="31"/>
        <v>37652</v>
      </c>
      <c r="Z337" s="1"/>
    </row>
    <row r="338" spans="3:26" x14ac:dyDescent="0.2">
      <c r="C338" s="39"/>
      <c r="D338" s="39"/>
      <c r="E338" s="38">
        <f>[2]!expavg($T$9:$T$26,$R$9:$R$26,K338,H338)</f>
        <v>0.66945167850810816</v>
      </c>
      <c r="F338" s="38" t="str">
        <f>[2]!expavg2($T$9:$T$26,I338,J338,$R$9:$R$26)</f>
        <v>ERROR: Please use EndPeriod &lt; BegPeriod.</v>
      </c>
      <c r="H338" s="2">
        <f t="shared" si="28"/>
        <v>12</v>
      </c>
      <c r="I338" s="24">
        <f t="shared" si="32"/>
        <v>1</v>
      </c>
      <c r="J338" s="24">
        <f t="shared" si="33"/>
        <v>13</v>
      </c>
      <c r="K338" s="17">
        <f t="shared" si="29"/>
        <v>-11</v>
      </c>
      <c r="M338" s="15">
        <f t="shared" ca="1" si="30"/>
        <v>42400</v>
      </c>
      <c r="N338" s="15">
        <f t="shared" ca="1" si="31"/>
        <v>38017</v>
      </c>
      <c r="Z338" s="1"/>
    </row>
    <row r="339" spans="3:26" x14ac:dyDescent="0.2">
      <c r="C339" s="39"/>
      <c r="D339" s="39"/>
      <c r="E339" s="38">
        <f>[2]!expavg($T$9:$T$26,$R$9:$R$26,K339,H339)</f>
        <v>0.67904388723605558</v>
      </c>
      <c r="F339" s="38" t="str">
        <f>[2]!expavg2($T$9:$T$26,I339,J339,$R$9:$R$26)</f>
        <v>ERROR: Please use EndPeriod &lt; BegPeriod.</v>
      </c>
      <c r="H339" s="2">
        <f t="shared" si="28"/>
        <v>11</v>
      </c>
      <c r="I339" s="24">
        <f t="shared" si="32"/>
        <v>1</v>
      </c>
      <c r="J339" s="24">
        <f t="shared" si="33"/>
        <v>12</v>
      </c>
      <c r="K339" s="17">
        <f t="shared" si="29"/>
        <v>-10</v>
      </c>
      <c r="M339" s="15">
        <f t="shared" ca="1" si="30"/>
        <v>42400</v>
      </c>
      <c r="N339" s="15">
        <f t="shared" ca="1" si="31"/>
        <v>38383</v>
      </c>
      <c r="Z339" s="1"/>
    </row>
    <row r="340" spans="3:26" x14ac:dyDescent="0.2">
      <c r="C340" s="39"/>
      <c r="D340" s="39"/>
      <c r="E340" s="38">
        <f>[2]!expavg($T$9:$T$26,$R$9:$R$26,K340,H340)</f>
        <v>0.68957279758642287</v>
      </c>
      <c r="F340" s="38" t="str">
        <f>[2]!expavg2($T$9:$T$26,I340,J340,$R$9:$R$26)</f>
        <v>ERROR: Please use EndPeriod &lt; BegPeriod.</v>
      </c>
      <c r="H340" s="2">
        <f t="shared" si="28"/>
        <v>10</v>
      </c>
      <c r="I340" s="24">
        <f t="shared" si="32"/>
        <v>1</v>
      </c>
      <c r="J340" s="24">
        <f t="shared" si="33"/>
        <v>11</v>
      </c>
      <c r="K340" s="17">
        <f t="shared" si="29"/>
        <v>-9</v>
      </c>
      <c r="M340" s="15">
        <f t="shared" ca="1" si="30"/>
        <v>42400</v>
      </c>
      <c r="N340" s="15">
        <f t="shared" ca="1" si="31"/>
        <v>38748</v>
      </c>
      <c r="Z340" s="1"/>
    </row>
    <row r="341" spans="3:26" x14ac:dyDescent="0.2">
      <c r="C341" s="39"/>
      <c r="D341" s="39"/>
      <c r="E341" s="38">
        <f>[2]!expavg($T$9:$T$26,$R$9:$R$26,K341,H341)</f>
        <v>0.67160897630855276</v>
      </c>
      <c r="F341" s="38" t="str">
        <f>[2]!expavg2($T$9:$T$26,I341,J341,$R$9:$R$26)</f>
        <v>ERROR: Please use EndPeriod &lt; BegPeriod.</v>
      </c>
      <c r="H341" s="2">
        <f t="shared" si="28"/>
        <v>9</v>
      </c>
      <c r="I341" s="24">
        <f t="shared" si="32"/>
        <v>1</v>
      </c>
      <c r="J341" s="24">
        <f t="shared" si="33"/>
        <v>10</v>
      </c>
      <c r="K341" s="17">
        <f t="shared" si="29"/>
        <v>-8</v>
      </c>
      <c r="M341" s="15">
        <f t="shared" ca="1" si="30"/>
        <v>42400</v>
      </c>
      <c r="N341" s="15">
        <f t="shared" ca="1" si="31"/>
        <v>39113</v>
      </c>
      <c r="Z341" s="1"/>
    </row>
    <row r="342" spans="3:26" x14ac:dyDescent="0.2">
      <c r="C342" s="39"/>
      <c r="D342" s="39"/>
      <c r="E342" s="38">
        <f>[2]!expavg($T$9:$T$26,$R$9:$R$26,K342,H342)</f>
        <v>0.66527157980250695</v>
      </c>
      <c r="F342" s="38" t="str">
        <f>[2]!expavg2($T$9:$T$26,I342,J342,$R$9:$R$26)</f>
        <v>ERROR: Please use EndPeriod &lt; BegPeriod.</v>
      </c>
      <c r="H342" s="2">
        <f t="shared" si="28"/>
        <v>8</v>
      </c>
      <c r="I342" s="24">
        <f t="shared" si="32"/>
        <v>1</v>
      </c>
      <c r="J342" s="24">
        <f t="shared" si="33"/>
        <v>9</v>
      </c>
      <c r="K342" s="17">
        <f t="shared" si="29"/>
        <v>-7</v>
      </c>
      <c r="M342" s="15">
        <f t="shared" ca="1" si="30"/>
        <v>42400</v>
      </c>
      <c r="N342" s="15">
        <f t="shared" ca="1" si="31"/>
        <v>39478</v>
      </c>
      <c r="Z342" s="1"/>
    </row>
    <row r="343" spans="3:26" x14ac:dyDescent="0.2">
      <c r="C343" s="39"/>
      <c r="D343" s="39"/>
      <c r="E343" s="38">
        <f>[2]!expavg($T$9:$T$26,$R$9:$R$26,K343,H343)</f>
        <v>0.68450987024306864</v>
      </c>
      <c r="F343" s="38" t="str">
        <f>[2]!expavg2($T$9:$T$26,I343,J343,$R$9:$R$26)</f>
        <v>ERROR: Please use EndPeriod &lt; BegPeriod.</v>
      </c>
      <c r="H343" s="2">
        <f t="shared" si="28"/>
        <v>7</v>
      </c>
      <c r="I343" s="24">
        <f t="shared" si="32"/>
        <v>1</v>
      </c>
      <c r="J343" s="24">
        <f t="shared" si="33"/>
        <v>8</v>
      </c>
      <c r="K343" s="17">
        <f t="shared" si="29"/>
        <v>-6</v>
      </c>
      <c r="M343" s="15">
        <f t="shared" ca="1" si="30"/>
        <v>42400</v>
      </c>
      <c r="N343" s="15">
        <f t="shared" ca="1" si="31"/>
        <v>39844</v>
      </c>
      <c r="Z343" s="1"/>
    </row>
    <row r="344" spans="3:26" x14ac:dyDescent="0.2">
      <c r="C344" s="39"/>
      <c r="D344" s="39"/>
      <c r="E344" s="38">
        <f>[2]!expavg($T$9:$T$26,$R$9:$R$26,K344,H344)</f>
        <v>0.67627397338659268</v>
      </c>
      <c r="F344" s="38" t="str">
        <f>[2]!expavg2($T$9:$T$26,I344,J344,$R$9:$R$26)</f>
        <v>ERROR: Please use EndPeriod &lt; BegPeriod.</v>
      </c>
      <c r="H344" s="2">
        <f t="shared" si="28"/>
        <v>6</v>
      </c>
      <c r="I344" s="24">
        <f t="shared" si="32"/>
        <v>1</v>
      </c>
      <c r="J344" s="24">
        <f t="shared" si="33"/>
        <v>7</v>
      </c>
      <c r="K344" s="17">
        <f t="shared" si="29"/>
        <v>-5</v>
      </c>
      <c r="M344" s="15">
        <f t="shared" ca="1" si="30"/>
        <v>42400</v>
      </c>
      <c r="N344" s="15">
        <f t="shared" ca="1" si="31"/>
        <v>40209</v>
      </c>
      <c r="Z344" s="1"/>
    </row>
    <row r="345" spans="3:26" x14ac:dyDescent="0.2">
      <c r="C345" s="39"/>
      <c r="D345" s="39"/>
      <c r="E345" s="38">
        <f>[2]!expavg($T$9:$T$26,$R$9:$R$26,K345,H345)</f>
        <v>0.66006899259190965</v>
      </c>
      <c r="F345" s="38" t="str">
        <f>[2]!expavg2($T$9:$T$26,I345,J345,$R$9:$R$26)</f>
        <v>ERROR: Please use EndPeriod &lt; BegPeriod.</v>
      </c>
      <c r="H345" s="2">
        <f t="shared" si="28"/>
        <v>5</v>
      </c>
      <c r="I345" s="24">
        <f t="shared" si="32"/>
        <v>1</v>
      </c>
      <c r="J345" s="24">
        <f t="shared" si="33"/>
        <v>6</v>
      </c>
      <c r="K345" s="17">
        <f t="shared" si="29"/>
        <v>-4</v>
      </c>
      <c r="M345" s="15">
        <f t="shared" ca="1" si="30"/>
        <v>42400</v>
      </c>
      <c r="N345" s="15">
        <f t="shared" ca="1" si="31"/>
        <v>40574</v>
      </c>
      <c r="Z345" s="1"/>
    </row>
    <row r="346" spans="3:26" x14ac:dyDescent="0.2">
      <c r="C346" s="39"/>
      <c r="D346" s="39"/>
      <c r="E346" s="38">
        <f>[2]!expavg($T$9:$T$26,$R$9:$R$26,K346,H346)</f>
        <v>0.64048216018789683</v>
      </c>
      <c r="F346" s="38" t="str">
        <f>[2]!expavg2($T$9:$T$26,I346,J346,$R$9:$R$26)</f>
        <v>ERROR: Please use EndPeriod &lt; BegPeriod.</v>
      </c>
      <c r="H346" s="2">
        <f t="shared" si="28"/>
        <v>4</v>
      </c>
      <c r="I346" s="24">
        <f t="shared" si="32"/>
        <v>1</v>
      </c>
      <c r="J346" s="24">
        <f t="shared" si="33"/>
        <v>5</v>
      </c>
      <c r="K346" s="17">
        <f t="shared" si="29"/>
        <v>-3</v>
      </c>
      <c r="M346" s="15">
        <f t="shared" ca="1" si="30"/>
        <v>42400</v>
      </c>
      <c r="N346" s="15">
        <f t="shared" ca="1" si="31"/>
        <v>40939</v>
      </c>
      <c r="Z346" s="1"/>
    </row>
    <row r="347" spans="3:26" x14ac:dyDescent="0.2">
      <c r="C347" s="39"/>
      <c r="D347" s="39"/>
      <c r="E347" s="38">
        <f>[2]!expavg($T$9:$T$26,$R$9:$R$26,K347,H347)</f>
        <v>0.62815488340610859</v>
      </c>
      <c r="F347" s="38" t="str">
        <f>[2]!expavg2($T$9:$T$26,I347,J347,$R$9:$R$26)</f>
        <v>ERROR: Please use EndPeriod &lt; BegPeriod.</v>
      </c>
      <c r="H347" s="2">
        <f t="shared" si="28"/>
        <v>3</v>
      </c>
      <c r="I347" s="24">
        <f t="shared" si="32"/>
        <v>1</v>
      </c>
      <c r="J347" s="24">
        <f t="shared" si="33"/>
        <v>4</v>
      </c>
      <c r="K347" s="17">
        <f t="shared" si="29"/>
        <v>-2</v>
      </c>
      <c r="M347" s="15">
        <f t="shared" ca="1" si="30"/>
        <v>42400</v>
      </c>
      <c r="N347" s="15">
        <f t="shared" ca="1" si="31"/>
        <v>41305</v>
      </c>
      <c r="Z347" s="1"/>
    </row>
    <row r="348" spans="3:26" x14ac:dyDescent="0.2">
      <c r="C348" s="39"/>
      <c r="D348" s="39"/>
      <c r="E348" s="38">
        <f>[2]!expavg($T$9:$T$26,$R$9:$R$26,K348,H348)</f>
        <v>0.62040838094689943</v>
      </c>
      <c r="F348" s="38" t="str">
        <f>[2]!expavg2($T$9:$T$26,I348,J348,$R$9:$R$26)</f>
        <v>ERROR: Please use EndPeriod &lt; BegPeriod.</v>
      </c>
      <c r="H348" s="2">
        <f t="shared" si="28"/>
        <v>2</v>
      </c>
      <c r="I348" s="24">
        <f t="shared" si="32"/>
        <v>1</v>
      </c>
      <c r="J348" s="24">
        <f t="shared" si="33"/>
        <v>3</v>
      </c>
      <c r="K348" s="17">
        <f t="shared" si="29"/>
        <v>-1</v>
      </c>
      <c r="M348" s="15">
        <f t="shared" ca="1" si="30"/>
        <v>42400</v>
      </c>
      <c r="N348" s="15">
        <f t="shared" ca="1" si="31"/>
        <v>41670</v>
      </c>
      <c r="Z348" s="1"/>
    </row>
    <row r="349" spans="3:26" x14ac:dyDescent="0.2">
      <c r="C349" s="39"/>
      <c r="D349" s="39"/>
      <c r="E349" s="38">
        <f>[2]!expavg($T$9:$T$26,$R$9:$R$26,K349,H349)</f>
        <v>0.60752408974439076</v>
      </c>
      <c r="F349" s="38" t="str">
        <f>[2]!expavg2($T$9:$T$26,I349,J349,$R$9:$R$26)</f>
        <v>ERROR: Please use EndPeriod &lt; BegPeriod.</v>
      </c>
      <c r="H349" s="2">
        <f t="shared" si="28"/>
        <v>1</v>
      </c>
      <c r="I349" s="24">
        <f t="shared" si="32"/>
        <v>1</v>
      </c>
      <c r="J349" s="24">
        <f t="shared" si="33"/>
        <v>2</v>
      </c>
      <c r="K349" s="17">
        <f t="shared" si="29"/>
        <v>0</v>
      </c>
      <c r="M349" s="15">
        <f t="shared" ca="1" si="30"/>
        <v>42400</v>
      </c>
      <c r="N349" s="15">
        <f t="shared" ca="1" si="31"/>
        <v>42035</v>
      </c>
      <c r="Z349" s="1"/>
    </row>
    <row r="350" spans="3:26" x14ac:dyDescent="0.2">
      <c r="C350" s="39"/>
      <c r="D350" s="39"/>
      <c r="E350" s="38">
        <f>[2]!expavg($T$9:$T$26,$R$9:$R$26,K350,H350)</f>
        <v>0.55373443055729787</v>
      </c>
      <c r="F350" s="38">
        <f>[2]!expavg2($T$9:$T$26,I350,J350,$R$9:$R$26)</f>
        <v>0.55373443055729787</v>
      </c>
      <c r="H350" s="2">
        <f t="shared" si="28"/>
        <v>0</v>
      </c>
      <c r="I350" s="24">
        <f t="shared" si="32"/>
        <v>1</v>
      </c>
      <c r="J350" s="24">
        <f t="shared" si="33"/>
        <v>1</v>
      </c>
      <c r="K350" s="17">
        <f t="shared" si="29"/>
        <v>1</v>
      </c>
      <c r="M350" s="15">
        <f t="shared" ca="1" si="30"/>
        <v>42400</v>
      </c>
      <c r="N350" s="15">
        <f t="shared" ca="1" si="31"/>
        <v>42400</v>
      </c>
      <c r="Z350" s="1"/>
    </row>
    <row r="351" spans="3:26" x14ac:dyDescent="0.2">
      <c r="C351" s="39"/>
      <c r="D351" s="39"/>
      <c r="E351" s="38">
        <f>[2]!expavg($T$9:$T$26,$R$9:$R$26,K351,H351)</f>
        <v>0.48991769026040066</v>
      </c>
      <c r="F351" s="38" t="str">
        <f>[2]!expavg2($T$9:$T$26,I351,J351,$R$9:$R$26)</f>
        <v>ERROR: Please use EndPeriod &gt;= 1.</v>
      </c>
      <c r="H351" s="2">
        <f t="shared" si="28"/>
        <v>-1</v>
      </c>
      <c r="I351" s="24">
        <f t="shared" si="32"/>
        <v>1</v>
      </c>
      <c r="J351" s="24">
        <f t="shared" si="33"/>
        <v>0</v>
      </c>
      <c r="K351" s="17">
        <f t="shared" si="29"/>
        <v>2</v>
      </c>
      <c r="M351" s="15">
        <f t="shared" ca="1" si="30"/>
        <v>42400</v>
      </c>
      <c r="N351" s="15">
        <f t="shared" ca="1" si="31"/>
        <v>0</v>
      </c>
      <c r="Z351" s="1"/>
    </row>
    <row r="352" spans="3:26" x14ac:dyDescent="0.2">
      <c r="C352" s="39"/>
      <c r="D352" s="39"/>
      <c r="E352" s="38">
        <f>[2]!expavg($T$9:$T$26,$R$9:$R$26,K352,H352)</f>
        <v>0.50377463553306268</v>
      </c>
      <c r="F352" s="38" t="str">
        <f>[2]!expavg2($T$9:$T$26,I352,J352,$R$9:$R$26)</f>
        <v>ERROR: Please use EndPeriod &gt;= 1.</v>
      </c>
      <c r="H352" s="2">
        <f t="shared" si="28"/>
        <v>-2</v>
      </c>
      <c r="I352" s="24">
        <f t="shared" si="32"/>
        <v>1</v>
      </c>
      <c r="J352" s="24">
        <f t="shared" si="33"/>
        <v>-1</v>
      </c>
      <c r="K352" s="17">
        <f t="shared" si="29"/>
        <v>3</v>
      </c>
      <c r="M352" s="15">
        <f t="shared" ca="1" si="30"/>
        <v>42400</v>
      </c>
      <c r="N352" s="15">
        <f t="shared" ca="1" si="31"/>
        <v>0</v>
      </c>
      <c r="Z352" s="1"/>
    </row>
    <row r="353" spans="3:26" x14ac:dyDescent="0.2">
      <c r="C353" s="39"/>
      <c r="D353" s="39"/>
      <c r="E353" s="38">
        <f>[2]!expavg($T$9:$T$26,$R$9:$R$26,K353,H353)</f>
        <v>0.70939186407915755</v>
      </c>
      <c r="F353" s="38" t="str">
        <f>[2]!expavg2($T$9:$T$26,I353,J353,$R$9:$R$26)</f>
        <v>ERROR: Please use BegPeriod &gt;= 1.</v>
      </c>
      <c r="H353" s="2">
        <f t="shared" si="28"/>
        <v>14</v>
      </c>
      <c r="I353" s="24">
        <f t="shared" si="32"/>
        <v>0</v>
      </c>
      <c r="J353" s="24">
        <f t="shared" si="33"/>
        <v>15</v>
      </c>
      <c r="K353" s="17">
        <f t="shared" si="29"/>
        <v>-14</v>
      </c>
      <c r="M353" s="15">
        <f t="shared" ca="1" si="30"/>
        <v>0</v>
      </c>
      <c r="N353" s="15">
        <f t="shared" ca="1" si="31"/>
        <v>37287</v>
      </c>
      <c r="Z353" s="1"/>
    </row>
    <row r="354" spans="3:26" x14ac:dyDescent="0.2">
      <c r="C354" s="39"/>
      <c r="D354" s="39"/>
      <c r="E354" s="38">
        <f>[2]!expavg($T$9:$T$26,$R$9:$R$26,K354,H354)</f>
        <v>0.67177139323204882</v>
      </c>
      <c r="F354" s="38" t="str">
        <f>[2]!expavg2($T$9:$T$26,I354,J354,$R$9:$R$26)</f>
        <v>ERROR: Please use BegPeriod &gt;= 1.</v>
      </c>
      <c r="H354" s="2">
        <f t="shared" si="28"/>
        <v>13</v>
      </c>
      <c r="I354" s="24">
        <f t="shared" si="32"/>
        <v>0</v>
      </c>
      <c r="J354" s="24">
        <f t="shared" si="33"/>
        <v>14</v>
      </c>
      <c r="K354" s="17">
        <f t="shared" si="29"/>
        <v>-13</v>
      </c>
      <c r="M354" s="15">
        <f t="shared" ca="1" si="30"/>
        <v>0</v>
      </c>
      <c r="N354" s="15">
        <f t="shared" ca="1" si="31"/>
        <v>37652</v>
      </c>
      <c r="Z354" s="1"/>
    </row>
    <row r="355" spans="3:26" x14ac:dyDescent="0.2">
      <c r="C355" s="39"/>
      <c r="D355" s="39"/>
      <c r="E355" s="38">
        <f>[2]!expavg($T$9:$T$26,$R$9:$R$26,K355,H355)</f>
        <v>0.66945167850810816</v>
      </c>
      <c r="F355" s="38" t="str">
        <f>[2]!expavg2($T$9:$T$26,I355,J355,$R$9:$R$26)</f>
        <v>ERROR: Please use BegPeriod &gt;= 1.</v>
      </c>
      <c r="H355" s="2">
        <f t="shared" si="28"/>
        <v>12</v>
      </c>
      <c r="I355" s="24">
        <f t="shared" si="32"/>
        <v>0</v>
      </c>
      <c r="J355" s="24">
        <f t="shared" si="33"/>
        <v>13</v>
      </c>
      <c r="K355" s="17">
        <f t="shared" si="29"/>
        <v>-12</v>
      </c>
      <c r="M355" s="15">
        <f t="shared" ca="1" si="30"/>
        <v>0</v>
      </c>
      <c r="N355" s="15">
        <f t="shared" ca="1" si="31"/>
        <v>38017</v>
      </c>
      <c r="Z355" s="1"/>
    </row>
    <row r="356" spans="3:26" x14ac:dyDescent="0.2">
      <c r="C356" s="39"/>
      <c r="D356" s="39"/>
      <c r="E356" s="38">
        <f>[2]!expavg($T$9:$T$26,$R$9:$R$26,K356,H356)</f>
        <v>0.67904388723605558</v>
      </c>
      <c r="F356" s="38" t="str">
        <f>[2]!expavg2($T$9:$T$26,I356,J356,$R$9:$R$26)</f>
        <v>ERROR: Please use BegPeriod &gt;= 1.</v>
      </c>
      <c r="H356" s="2">
        <f t="shared" ref="H356:H419" si="34">J356-1</f>
        <v>11</v>
      </c>
      <c r="I356" s="24">
        <f t="shared" si="32"/>
        <v>0</v>
      </c>
      <c r="J356" s="24">
        <f t="shared" si="33"/>
        <v>12</v>
      </c>
      <c r="K356" s="17">
        <f t="shared" ref="K356:K419" si="35">I356-J356+1</f>
        <v>-11</v>
      </c>
      <c r="M356" s="15">
        <f t="shared" ref="M356:M419" ca="1" si="36">OFFSET($P$27,-I356,0)</f>
        <v>0</v>
      </c>
      <c r="N356" s="15">
        <f t="shared" ref="N356:N419" ca="1" si="37">OFFSET($P$27,-J356,0)</f>
        <v>38383</v>
      </c>
      <c r="Z356" s="1"/>
    </row>
    <row r="357" spans="3:26" x14ac:dyDescent="0.2">
      <c r="C357" s="39"/>
      <c r="D357" s="39"/>
      <c r="E357" s="38">
        <f>[2]!expavg($T$9:$T$26,$R$9:$R$26,K357,H357)</f>
        <v>0.68957279758642287</v>
      </c>
      <c r="F357" s="38" t="str">
        <f>[2]!expavg2($T$9:$T$26,I357,J357,$R$9:$R$26)</f>
        <v>ERROR: Please use BegPeriod &gt;= 1.</v>
      </c>
      <c r="H357" s="2">
        <f t="shared" si="34"/>
        <v>10</v>
      </c>
      <c r="I357" s="24">
        <f t="shared" si="32"/>
        <v>0</v>
      </c>
      <c r="J357" s="24">
        <f t="shared" si="33"/>
        <v>11</v>
      </c>
      <c r="K357" s="17">
        <f t="shared" si="35"/>
        <v>-10</v>
      </c>
      <c r="M357" s="15">
        <f t="shared" ca="1" si="36"/>
        <v>0</v>
      </c>
      <c r="N357" s="15">
        <f t="shared" ca="1" si="37"/>
        <v>38748</v>
      </c>
      <c r="Z357" s="1"/>
    </row>
    <row r="358" spans="3:26" x14ac:dyDescent="0.2">
      <c r="C358" s="39"/>
      <c r="D358" s="39"/>
      <c r="E358" s="38">
        <f>[2]!expavg($T$9:$T$26,$R$9:$R$26,K358,H358)</f>
        <v>0.67160897630855276</v>
      </c>
      <c r="F358" s="38" t="str">
        <f>[2]!expavg2($T$9:$T$26,I358,J358,$R$9:$R$26)</f>
        <v>ERROR: Please use BegPeriod &gt;= 1.</v>
      </c>
      <c r="H358" s="2">
        <f t="shared" si="34"/>
        <v>9</v>
      </c>
      <c r="I358" s="24">
        <f t="shared" si="32"/>
        <v>0</v>
      </c>
      <c r="J358" s="24">
        <f t="shared" si="33"/>
        <v>10</v>
      </c>
      <c r="K358" s="17">
        <f t="shared" si="35"/>
        <v>-9</v>
      </c>
      <c r="M358" s="15">
        <f t="shared" ca="1" si="36"/>
        <v>0</v>
      </c>
      <c r="N358" s="15">
        <f t="shared" ca="1" si="37"/>
        <v>39113</v>
      </c>
      <c r="Z358" s="1"/>
    </row>
    <row r="359" spans="3:26" x14ac:dyDescent="0.2">
      <c r="C359" s="39"/>
      <c r="D359" s="39"/>
      <c r="E359" s="38">
        <f>[2]!expavg($T$9:$T$26,$R$9:$R$26,K359,H359)</f>
        <v>0.66527157980250695</v>
      </c>
      <c r="F359" s="38" t="str">
        <f>[2]!expavg2($T$9:$T$26,I359,J359,$R$9:$R$26)</f>
        <v>ERROR: Please use BegPeriod &gt;= 1.</v>
      </c>
      <c r="H359" s="2">
        <f t="shared" si="34"/>
        <v>8</v>
      </c>
      <c r="I359" s="24">
        <f t="shared" si="32"/>
        <v>0</v>
      </c>
      <c r="J359" s="24">
        <f t="shared" si="33"/>
        <v>9</v>
      </c>
      <c r="K359" s="17">
        <f t="shared" si="35"/>
        <v>-8</v>
      </c>
      <c r="M359" s="15">
        <f t="shared" ca="1" si="36"/>
        <v>0</v>
      </c>
      <c r="N359" s="15">
        <f t="shared" ca="1" si="37"/>
        <v>39478</v>
      </c>
      <c r="Z359" s="1"/>
    </row>
    <row r="360" spans="3:26" x14ac:dyDescent="0.2">
      <c r="C360" s="39"/>
      <c r="D360" s="39"/>
      <c r="E360" s="38">
        <f>[2]!expavg($T$9:$T$26,$R$9:$R$26,K360,H360)</f>
        <v>0.68450987024306864</v>
      </c>
      <c r="F360" s="38" t="str">
        <f>[2]!expavg2($T$9:$T$26,I360,J360,$R$9:$R$26)</f>
        <v>ERROR: Please use BegPeriod &gt;= 1.</v>
      </c>
      <c r="H360" s="2">
        <f t="shared" si="34"/>
        <v>7</v>
      </c>
      <c r="I360" s="24">
        <f t="shared" si="32"/>
        <v>0</v>
      </c>
      <c r="J360" s="24">
        <f t="shared" si="33"/>
        <v>8</v>
      </c>
      <c r="K360" s="17">
        <f t="shared" si="35"/>
        <v>-7</v>
      </c>
      <c r="M360" s="15">
        <f t="shared" ca="1" si="36"/>
        <v>0</v>
      </c>
      <c r="N360" s="15">
        <f t="shared" ca="1" si="37"/>
        <v>39844</v>
      </c>
      <c r="Z360" s="1"/>
    </row>
    <row r="361" spans="3:26" x14ac:dyDescent="0.2">
      <c r="C361" s="39"/>
      <c r="D361" s="39"/>
      <c r="E361" s="38">
        <f>[2]!expavg($T$9:$T$26,$R$9:$R$26,K361,H361)</f>
        <v>0.67627397338659268</v>
      </c>
      <c r="F361" s="38" t="str">
        <f>[2]!expavg2($T$9:$T$26,I361,J361,$R$9:$R$26)</f>
        <v>ERROR: Please use BegPeriod &gt;= 1.</v>
      </c>
      <c r="H361" s="2">
        <f t="shared" si="34"/>
        <v>6</v>
      </c>
      <c r="I361" s="24">
        <f t="shared" si="32"/>
        <v>0</v>
      </c>
      <c r="J361" s="24">
        <f t="shared" si="33"/>
        <v>7</v>
      </c>
      <c r="K361" s="17">
        <f t="shared" si="35"/>
        <v>-6</v>
      </c>
      <c r="M361" s="15">
        <f t="shared" ca="1" si="36"/>
        <v>0</v>
      </c>
      <c r="N361" s="15">
        <f t="shared" ca="1" si="37"/>
        <v>40209</v>
      </c>
      <c r="Z361" s="1"/>
    </row>
    <row r="362" spans="3:26" x14ac:dyDescent="0.2">
      <c r="C362" s="39"/>
      <c r="D362" s="39"/>
      <c r="E362" s="38">
        <f>[2]!expavg($T$9:$T$26,$R$9:$R$26,K362,H362)</f>
        <v>0.66006899259190965</v>
      </c>
      <c r="F362" s="38" t="str">
        <f>[2]!expavg2($T$9:$T$26,I362,J362,$R$9:$R$26)</f>
        <v>ERROR: Please use BegPeriod &gt;= 1.</v>
      </c>
      <c r="H362" s="2">
        <f t="shared" si="34"/>
        <v>5</v>
      </c>
      <c r="I362" s="24">
        <f t="shared" si="32"/>
        <v>0</v>
      </c>
      <c r="J362" s="24">
        <f t="shared" si="33"/>
        <v>6</v>
      </c>
      <c r="K362" s="17">
        <f t="shared" si="35"/>
        <v>-5</v>
      </c>
      <c r="M362" s="15">
        <f t="shared" ca="1" si="36"/>
        <v>0</v>
      </c>
      <c r="N362" s="15">
        <f t="shared" ca="1" si="37"/>
        <v>40574</v>
      </c>
      <c r="Z362" s="1"/>
    </row>
    <row r="363" spans="3:26" x14ac:dyDescent="0.2">
      <c r="C363" s="39"/>
      <c r="D363" s="39"/>
      <c r="E363" s="38">
        <f>[2]!expavg($T$9:$T$26,$R$9:$R$26,K363,H363)</f>
        <v>0.64048216018789683</v>
      </c>
      <c r="F363" s="38" t="str">
        <f>[2]!expavg2($T$9:$T$26,I363,J363,$R$9:$R$26)</f>
        <v>ERROR: Please use BegPeriod &gt;= 1.</v>
      </c>
      <c r="H363" s="2">
        <f t="shared" si="34"/>
        <v>4</v>
      </c>
      <c r="I363" s="24">
        <f t="shared" si="32"/>
        <v>0</v>
      </c>
      <c r="J363" s="24">
        <f t="shared" si="33"/>
        <v>5</v>
      </c>
      <c r="K363" s="17">
        <f t="shared" si="35"/>
        <v>-4</v>
      </c>
      <c r="M363" s="15">
        <f t="shared" ca="1" si="36"/>
        <v>0</v>
      </c>
      <c r="N363" s="15">
        <f t="shared" ca="1" si="37"/>
        <v>40939</v>
      </c>
      <c r="Z363" s="1"/>
    </row>
    <row r="364" spans="3:26" x14ac:dyDescent="0.2">
      <c r="C364" s="39"/>
      <c r="D364" s="39"/>
      <c r="E364" s="38">
        <f>[2]!expavg($T$9:$T$26,$R$9:$R$26,K364,H364)</f>
        <v>0.62815488340610859</v>
      </c>
      <c r="F364" s="38" t="str">
        <f>[2]!expavg2($T$9:$T$26,I364,J364,$R$9:$R$26)</f>
        <v>ERROR: Please use BegPeriod &gt;= 1.</v>
      </c>
      <c r="H364" s="2">
        <f t="shared" si="34"/>
        <v>3</v>
      </c>
      <c r="I364" s="24">
        <f t="shared" si="32"/>
        <v>0</v>
      </c>
      <c r="J364" s="24">
        <f t="shared" si="33"/>
        <v>4</v>
      </c>
      <c r="K364" s="17">
        <f t="shared" si="35"/>
        <v>-3</v>
      </c>
      <c r="M364" s="15">
        <f t="shared" ca="1" si="36"/>
        <v>0</v>
      </c>
      <c r="N364" s="15">
        <f t="shared" ca="1" si="37"/>
        <v>41305</v>
      </c>
      <c r="Z364" s="1"/>
    </row>
    <row r="365" spans="3:26" x14ac:dyDescent="0.2">
      <c r="C365" s="39"/>
      <c r="D365" s="39"/>
      <c r="E365" s="38">
        <f>[2]!expavg($T$9:$T$26,$R$9:$R$26,K365,H365)</f>
        <v>0.62040838094689943</v>
      </c>
      <c r="F365" s="38" t="str">
        <f>[2]!expavg2($T$9:$T$26,I365,J365,$R$9:$R$26)</f>
        <v>ERROR: Please use BegPeriod &gt;= 1.</v>
      </c>
      <c r="H365" s="2">
        <f t="shared" si="34"/>
        <v>2</v>
      </c>
      <c r="I365" s="24">
        <f t="shared" si="32"/>
        <v>0</v>
      </c>
      <c r="J365" s="24">
        <f t="shared" si="33"/>
        <v>3</v>
      </c>
      <c r="K365" s="17">
        <f t="shared" si="35"/>
        <v>-2</v>
      </c>
      <c r="M365" s="15">
        <f t="shared" ca="1" si="36"/>
        <v>0</v>
      </c>
      <c r="N365" s="15">
        <f t="shared" ca="1" si="37"/>
        <v>41670</v>
      </c>
      <c r="Z365" s="1"/>
    </row>
    <row r="366" spans="3:26" x14ac:dyDescent="0.2">
      <c r="C366" s="39"/>
      <c r="D366" s="39"/>
      <c r="E366" s="38">
        <f>[2]!expavg($T$9:$T$26,$R$9:$R$26,K366,H366)</f>
        <v>0.60752408974439076</v>
      </c>
      <c r="F366" s="38" t="str">
        <f>[2]!expavg2($T$9:$T$26,I366,J366,$R$9:$R$26)</f>
        <v>ERROR: Please use BegPeriod &gt;= 1.</v>
      </c>
      <c r="H366" s="2">
        <f t="shared" si="34"/>
        <v>1</v>
      </c>
      <c r="I366" s="24">
        <f t="shared" si="32"/>
        <v>0</v>
      </c>
      <c r="J366" s="24">
        <f t="shared" si="33"/>
        <v>2</v>
      </c>
      <c r="K366" s="17">
        <f t="shared" si="35"/>
        <v>-1</v>
      </c>
      <c r="M366" s="15">
        <f t="shared" ca="1" si="36"/>
        <v>0</v>
      </c>
      <c r="N366" s="15">
        <f t="shared" ca="1" si="37"/>
        <v>42035</v>
      </c>
      <c r="Z366" s="1"/>
    </row>
    <row r="367" spans="3:26" x14ac:dyDescent="0.2">
      <c r="C367" s="39"/>
      <c r="D367" s="39"/>
      <c r="E367" s="38">
        <f>[2]!expavg($T$9:$T$26,$R$9:$R$26,K367,H367)</f>
        <v>0.60472044954610527</v>
      </c>
      <c r="F367" s="38" t="str">
        <f>[2]!expavg2($T$9:$T$26,I367,J367,$R$9:$R$26)</f>
        <v>ERROR: Please use BegPeriod &gt;= 1.</v>
      </c>
      <c r="H367" s="2">
        <f t="shared" si="34"/>
        <v>0</v>
      </c>
      <c r="I367" s="24">
        <f t="shared" si="32"/>
        <v>0</v>
      </c>
      <c r="J367" s="24">
        <f t="shared" si="33"/>
        <v>1</v>
      </c>
      <c r="K367" s="17">
        <f t="shared" si="35"/>
        <v>0</v>
      </c>
      <c r="M367" s="15">
        <f t="shared" ca="1" si="36"/>
        <v>0</v>
      </c>
      <c r="N367" s="15">
        <f t="shared" ca="1" si="37"/>
        <v>42400</v>
      </c>
      <c r="Z367" s="1"/>
    </row>
    <row r="368" spans="3:26" x14ac:dyDescent="0.2">
      <c r="C368" s="39"/>
      <c r="D368" s="39"/>
      <c r="E368" s="38">
        <f>[2]!expavg($T$9:$T$26,$R$9:$R$26,K368,H368)</f>
        <v>0.55373443055729787</v>
      </c>
      <c r="F368" s="38" t="str">
        <f>[2]!expavg2($T$9:$T$26,I368,J368,$R$9:$R$26)</f>
        <v>ERROR: Please use BegPeriod &gt;= 1.</v>
      </c>
      <c r="H368" s="2">
        <f t="shared" si="34"/>
        <v>-1</v>
      </c>
      <c r="I368" s="24">
        <f t="shared" si="32"/>
        <v>0</v>
      </c>
      <c r="J368" s="24">
        <f t="shared" si="33"/>
        <v>0</v>
      </c>
      <c r="K368" s="17">
        <f t="shared" si="35"/>
        <v>1</v>
      </c>
      <c r="M368" s="15">
        <f t="shared" ca="1" si="36"/>
        <v>0</v>
      </c>
      <c r="N368" s="15">
        <f t="shared" ca="1" si="37"/>
        <v>0</v>
      </c>
      <c r="Z368" s="1"/>
    </row>
    <row r="369" spans="3:26" x14ac:dyDescent="0.2">
      <c r="C369" s="39"/>
      <c r="D369" s="39"/>
      <c r="E369" s="38">
        <f>[2]!expavg($T$9:$T$26,$R$9:$R$26,K369,H369)</f>
        <v>0.48991769026040066</v>
      </c>
      <c r="F369" s="38" t="str">
        <f>[2]!expavg2($T$9:$T$26,I369,J369,$R$9:$R$26)</f>
        <v>ERROR: Please use BegPeriod &gt;= 1.</v>
      </c>
      <c r="H369" s="2">
        <f t="shared" si="34"/>
        <v>-2</v>
      </c>
      <c r="I369" s="24">
        <f t="shared" si="32"/>
        <v>0</v>
      </c>
      <c r="J369" s="24">
        <f t="shared" si="33"/>
        <v>-1</v>
      </c>
      <c r="K369" s="17">
        <f t="shared" si="35"/>
        <v>2</v>
      </c>
      <c r="M369" s="15">
        <f t="shared" ca="1" si="36"/>
        <v>0</v>
      </c>
      <c r="N369" s="15">
        <f t="shared" ca="1" si="37"/>
        <v>0</v>
      </c>
      <c r="Z369" s="1"/>
    </row>
    <row r="370" spans="3:26" x14ac:dyDescent="0.2">
      <c r="C370" s="39"/>
      <c r="D370" s="39"/>
      <c r="E370" s="38">
        <f>[2]!expavg($T$9:$T$26,$R$9:$R$26,K370,H370)</f>
        <v>0.70939186407915755</v>
      </c>
      <c r="F370" s="38" t="str">
        <f>[2]!expavg2($T$9:$T$26,I370,J370,$R$9:$R$26)</f>
        <v>ERROR: Please use BegPeriod &gt;= 1.</v>
      </c>
      <c r="H370" s="2">
        <f t="shared" si="34"/>
        <v>14</v>
      </c>
      <c r="I370" s="24">
        <f t="shared" si="32"/>
        <v>-1</v>
      </c>
      <c r="J370" s="24">
        <f t="shared" si="33"/>
        <v>15</v>
      </c>
      <c r="K370" s="17">
        <f t="shared" si="35"/>
        <v>-15</v>
      </c>
      <c r="M370" s="15">
        <f t="shared" ca="1" si="36"/>
        <v>0</v>
      </c>
      <c r="N370" s="15">
        <f t="shared" ca="1" si="37"/>
        <v>37287</v>
      </c>
      <c r="Z370" s="1"/>
    </row>
    <row r="371" spans="3:26" x14ac:dyDescent="0.2">
      <c r="C371" s="39"/>
      <c r="D371" s="39"/>
      <c r="E371" s="38">
        <f>[2]!expavg($T$9:$T$26,$R$9:$R$26,K371,H371)</f>
        <v>0.67177139323204882</v>
      </c>
      <c r="F371" s="38" t="str">
        <f>[2]!expavg2($T$9:$T$26,I371,J371,$R$9:$R$26)</f>
        <v>ERROR: Please use BegPeriod &gt;= 1.</v>
      </c>
      <c r="H371" s="2">
        <f t="shared" si="34"/>
        <v>13</v>
      </c>
      <c r="I371" s="24">
        <f t="shared" si="32"/>
        <v>-1</v>
      </c>
      <c r="J371" s="24">
        <f t="shared" si="33"/>
        <v>14</v>
      </c>
      <c r="K371" s="17">
        <f t="shared" si="35"/>
        <v>-14</v>
      </c>
      <c r="M371" s="15">
        <f t="shared" ca="1" si="36"/>
        <v>0</v>
      </c>
      <c r="N371" s="15">
        <f t="shared" ca="1" si="37"/>
        <v>37652</v>
      </c>
      <c r="Z371" s="1"/>
    </row>
    <row r="372" spans="3:26" x14ac:dyDescent="0.2">
      <c r="C372" s="39"/>
      <c r="D372" s="39"/>
      <c r="E372" s="38">
        <f>[2]!expavg($T$9:$T$26,$R$9:$R$26,K372,H372)</f>
        <v>0.66945167850810816</v>
      </c>
      <c r="F372" s="38" t="str">
        <f>[2]!expavg2($T$9:$T$26,I372,J372,$R$9:$R$26)</f>
        <v>ERROR: Please use BegPeriod &gt;= 1.</v>
      </c>
      <c r="H372" s="2">
        <f t="shared" si="34"/>
        <v>12</v>
      </c>
      <c r="I372" s="24">
        <f t="shared" ref="I372:I435" si="38">I355-1</f>
        <v>-1</v>
      </c>
      <c r="J372" s="24">
        <f t="shared" ref="J372:J435" si="39">J355</f>
        <v>13</v>
      </c>
      <c r="K372" s="17">
        <f t="shared" si="35"/>
        <v>-13</v>
      </c>
      <c r="M372" s="15">
        <f t="shared" ca="1" si="36"/>
        <v>0</v>
      </c>
      <c r="N372" s="15">
        <f t="shared" ca="1" si="37"/>
        <v>38017</v>
      </c>
      <c r="Z372" s="1"/>
    </row>
    <row r="373" spans="3:26" x14ac:dyDescent="0.2">
      <c r="C373" s="39"/>
      <c r="D373" s="39"/>
      <c r="E373" s="38">
        <f>[2]!expavg($T$9:$T$26,$R$9:$R$26,K373,H373)</f>
        <v>0.67904388723605558</v>
      </c>
      <c r="F373" s="38" t="str">
        <f>[2]!expavg2($T$9:$T$26,I373,J373,$R$9:$R$26)</f>
        <v>ERROR: Please use BegPeriod &gt;= 1.</v>
      </c>
      <c r="H373" s="2">
        <f t="shared" si="34"/>
        <v>11</v>
      </c>
      <c r="I373" s="24">
        <f t="shared" si="38"/>
        <v>-1</v>
      </c>
      <c r="J373" s="24">
        <f t="shared" si="39"/>
        <v>12</v>
      </c>
      <c r="K373" s="17">
        <f t="shared" si="35"/>
        <v>-12</v>
      </c>
      <c r="M373" s="15">
        <f t="shared" ca="1" si="36"/>
        <v>0</v>
      </c>
      <c r="N373" s="15">
        <f t="shared" ca="1" si="37"/>
        <v>38383</v>
      </c>
      <c r="Z373" s="1"/>
    </row>
    <row r="374" spans="3:26" x14ac:dyDescent="0.2">
      <c r="C374" s="39"/>
      <c r="D374" s="39"/>
      <c r="E374" s="38">
        <f>[2]!expavg($T$9:$T$26,$R$9:$R$26,K374,H374)</f>
        <v>0.68957279758642287</v>
      </c>
      <c r="F374" s="38" t="str">
        <f>[2]!expavg2($T$9:$T$26,I374,J374,$R$9:$R$26)</f>
        <v>ERROR: Please use BegPeriod &gt;= 1.</v>
      </c>
      <c r="H374" s="2">
        <f t="shared" si="34"/>
        <v>10</v>
      </c>
      <c r="I374" s="24">
        <f t="shared" si="38"/>
        <v>-1</v>
      </c>
      <c r="J374" s="24">
        <f t="shared" si="39"/>
        <v>11</v>
      </c>
      <c r="K374" s="17">
        <f t="shared" si="35"/>
        <v>-11</v>
      </c>
      <c r="M374" s="15">
        <f t="shared" ca="1" si="36"/>
        <v>0</v>
      </c>
      <c r="N374" s="15">
        <f t="shared" ca="1" si="37"/>
        <v>38748</v>
      </c>
      <c r="Z374" s="1"/>
    </row>
    <row r="375" spans="3:26" x14ac:dyDescent="0.2">
      <c r="C375" s="39"/>
      <c r="D375" s="39"/>
      <c r="E375" s="38">
        <f>[2]!expavg($T$9:$T$26,$R$9:$R$26,K375,H375)</f>
        <v>0.67160897630855276</v>
      </c>
      <c r="F375" s="38" t="str">
        <f>[2]!expavg2($T$9:$T$26,I375,J375,$R$9:$R$26)</f>
        <v>ERROR: Please use BegPeriod &gt;= 1.</v>
      </c>
      <c r="H375" s="2">
        <f t="shared" si="34"/>
        <v>9</v>
      </c>
      <c r="I375" s="24">
        <f t="shared" si="38"/>
        <v>-1</v>
      </c>
      <c r="J375" s="24">
        <f t="shared" si="39"/>
        <v>10</v>
      </c>
      <c r="K375" s="17">
        <f t="shared" si="35"/>
        <v>-10</v>
      </c>
      <c r="M375" s="15">
        <f t="shared" ca="1" si="36"/>
        <v>0</v>
      </c>
      <c r="N375" s="15">
        <f t="shared" ca="1" si="37"/>
        <v>39113</v>
      </c>
      <c r="Z375" s="1"/>
    </row>
    <row r="376" spans="3:26" x14ac:dyDescent="0.2">
      <c r="C376" s="39"/>
      <c r="D376" s="39"/>
      <c r="E376" s="38">
        <f>[2]!expavg($T$9:$T$26,$R$9:$R$26,K376,H376)</f>
        <v>0.66527157980250695</v>
      </c>
      <c r="F376" s="38" t="str">
        <f>[2]!expavg2($T$9:$T$26,I376,J376,$R$9:$R$26)</f>
        <v>ERROR: Please use BegPeriod &gt;= 1.</v>
      </c>
      <c r="H376" s="2">
        <f t="shared" si="34"/>
        <v>8</v>
      </c>
      <c r="I376" s="24">
        <f t="shared" si="38"/>
        <v>-1</v>
      </c>
      <c r="J376" s="24">
        <f t="shared" si="39"/>
        <v>9</v>
      </c>
      <c r="K376" s="17">
        <f t="shared" si="35"/>
        <v>-9</v>
      </c>
      <c r="M376" s="15">
        <f t="shared" ca="1" si="36"/>
        <v>0</v>
      </c>
      <c r="N376" s="15">
        <f t="shared" ca="1" si="37"/>
        <v>39478</v>
      </c>
      <c r="Z376" s="1"/>
    </row>
    <row r="377" spans="3:26" x14ac:dyDescent="0.2">
      <c r="C377" s="39"/>
      <c r="D377" s="39"/>
      <c r="E377" s="38">
        <f>[2]!expavg($T$9:$T$26,$R$9:$R$26,K377,H377)</f>
        <v>0.68450987024306864</v>
      </c>
      <c r="F377" s="38" t="str">
        <f>[2]!expavg2($T$9:$T$26,I377,J377,$R$9:$R$26)</f>
        <v>ERROR: Please use BegPeriod &gt;= 1.</v>
      </c>
      <c r="H377" s="2">
        <f t="shared" si="34"/>
        <v>7</v>
      </c>
      <c r="I377" s="24">
        <f t="shared" si="38"/>
        <v>-1</v>
      </c>
      <c r="J377" s="24">
        <f t="shared" si="39"/>
        <v>8</v>
      </c>
      <c r="K377" s="17">
        <f t="shared" si="35"/>
        <v>-8</v>
      </c>
      <c r="M377" s="15">
        <f t="shared" ca="1" si="36"/>
        <v>0</v>
      </c>
      <c r="N377" s="15">
        <f t="shared" ca="1" si="37"/>
        <v>39844</v>
      </c>
      <c r="Z377" s="1"/>
    </row>
    <row r="378" spans="3:26" x14ac:dyDescent="0.2">
      <c r="C378" s="39"/>
      <c r="D378" s="39"/>
      <c r="E378" s="38">
        <f>[2]!expavg($T$9:$T$26,$R$9:$R$26,K378,H378)</f>
        <v>0.67627397338659268</v>
      </c>
      <c r="F378" s="38" t="str">
        <f>[2]!expavg2($T$9:$T$26,I378,J378,$R$9:$R$26)</f>
        <v>ERROR: Please use BegPeriod &gt;= 1.</v>
      </c>
      <c r="H378" s="2">
        <f t="shared" si="34"/>
        <v>6</v>
      </c>
      <c r="I378" s="24">
        <f t="shared" si="38"/>
        <v>-1</v>
      </c>
      <c r="J378" s="24">
        <f t="shared" si="39"/>
        <v>7</v>
      </c>
      <c r="K378" s="17">
        <f t="shared" si="35"/>
        <v>-7</v>
      </c>
      <c r="M378" s="15">
        <f t="shared" ca="1" si="36"/>
        <v>0</v>
      </c>
      <c r="N378" s="15">
        <f t="shared" ca="1" si="37"/>
        <v>40209</v>
      </c>
      <c r="Z378" s="1"/>
    </row>
    <row r="379" spans="3:26" x14ac:dyDescent="0.2">
      <c r="C379" s="39"/>
      <c r="D379" s="39"/>
      <c r="E379" s="38">
        <f>[2]!expavg($T$9:$T$26,$R$9:$R$26,K379,H379)</f>
        <v>0.66006899259190965</v>
      </c>
      <c r="F379" s="38" t="str">
        <f>[2]!expavg2($T$9:$T$26,I379,J379,$R$9:$R$26)</f>
        <v>ERROR: Please use BegPeriod &gt;= 1.</v>
      </c>
      <c r="H379" s="2">
        <f t="shared" si="34"/>
        <v>5</v>
      </c>
      <c r="I379" s="24">
        <f t="shared" si="38"/>
        <v>-1</v>
      </c>
      <c r="J379" s="24">
        <f t="shared" si="39"/>
        <v>6</v>
      </c>
      <c r="K379" s="17">
        <f t="shared" si="35"/>
        <v>-6</v>
      </c>
      <c r="M379" s="15">
        <f t="shared" ca="1" si="36"/>
        <v>0</v>
      </c>
      <c r="N379" s="15">
        <f t="shared" ca="1" si="37"/>
        <v>40574</v>
      </c>
      <c r="Z379" s="1"/>
    </row>
    <row r="380" spans="3:26" x14ac:dyDescent="0.2">
      <c r="C380" s="39"/>
      <c r="D380" s="39"/>
      <c r="E380" s="38">
        <f>[2]!expavg($T$9:$T$26,$R$9:$R$26,K380,H380)</f>
        <v>0.64048216018789683</v>
      </c>
      <c r="F380" s="38" t="str">
        <f>[2]!expavg2($T$9:$T$26,I380,J380,$R$9:$R$26)</f>
        <v>ERROR: Please use BegPeriod &gt;= 1.</v>
      </c>
      <c r="H380" s="2">
        <f t="shared" si="34"/>
        <v>4</v>
      </c>
      <c r="I380" s="24">
        <f t="shared" si="38"/>
        <v>-1</v>
      </c>
      <c r="J380" s="24">
        <f t="shared" si="39"/>
        <v>5</v>
      </c>
      <c r="K380" s="17">
        <f t="shared" si="35"/>
        <v>-5</v>
      </c>
      <c r="M380" s="15">
        <f t="shared" ca="1" si="36"/>
        <v>0</v>
      </c>
      <c r="N380" s="15">
        <f t="shared" ca="1" si="37"/>
        <v>40939</v>
      </c>
      <c r="Z380" s="1"/>
    </row>
    <row r="381" spans="3:26" x14ac:dyDescent="0.2">
      <c r="C381" s="39"/>
      <c r="D381" s="39"/>
      <c r="E381" s="38">
        <f>[2]!expavg($T$9:$T$26,$R$9:$R$26,K381,H381)</f>
        <v>0.62815488340610859</v>
      </c>
      <c r="F381" s="38" t="str">
        <f>[2]!expavg2($T$9:$T$26,I381,J381,$R$9:$R$26)</f>
        <v>ERROR: Please use BegPeriod &gt;= 1.</v>
      </c>
      <c r="H381" s="2">
        <f t="shared" si="34"/>
        <v>3</v>
      </c>
      <c r="I381" s="24">
        <f t="shared" si="38"/>
        <v>-1</v>
      </c>
      <c r="J381" s="24">
        <f t="shared" si="39"/>
        <v>4</v>
      </c>
      <c r="K381" s="17">
        <f t="shared" si="35"/>
        <v>-4</v>
      </c>
      <c r="M381" s="15">
        <f t="shared" ca="1" si="36"/>
        <v>0</v>
      </c>
      <c r="N381" s="15">
        <f t="shared" ca="1" si="37"/>
        <v>41305</v>
      </c>
      <c r="Z381" s="1"/>
    </row>
    <row r="382" spans="3:26" x14ac:dyDescent="0.2">
      <c r="C382" s="39"/>
      <c r="D382" s="39"/>
      <c r="E382" s="38">
        <f>[2]!expavg($T$9:$T$26,$R$9:$R$26,K382,H382)</f>
        <v>0.62040838094689943</v>
      </c>
      <c r="F382" s="38" t="str">
        <f>[2]!expavg2($T$9:$T$26,I382,J382,$R$9:$R$26)</f>
        <v>ERROR: Please use BegPeriod &gt;= 1.</v>
      </c>
      <c r="H382" s="2">
        <f t="shared" si="34"/>
        <v>2</v>
      </c>
      <c r="I382" s="24">
        <f t="shared" si="38"/>
        <v>-1</v>
      </c>
      <c r="J382" s="24">
        <f t="shared" si="39"/>
        <v>3</v>
      </c>
      <c r="K382" s="17">
        <f t="shared" si="35"/>
        <v>-3</v>
      </c>
      <c r="M382" s="15">
        <f t="shared" ca="1" si="36"/>
        <v>0</v>
      </c>
      <c r="N382" s="15">
        <f t="shared" ca="1" si="37"/>
        <v>41670</v>
      </c>
      <c r="Z382" s="1"/>
    </row>
    <row r="383" spans="3:26" x14ac:dyDescent="0.2">
      <c r="C383" s="39"/>
      <c r="D383" s="39"/>
      <c r="E383" s="38">
        <f>[2]!expavg($T$9:$T$26,$R$9:$R$26,K383,H383)</f>
        <v>0.60752408974439076</v>
      </c>
      <c r="F383" s="38" t="str">
        <f>[2]!expavg2($T$9:$T$26,I383,J383,$R$9:$R$26)</f>
        <v>ERROR: Please use BegPeriod &gt;= 1.</v>
      </c>
      <c r="H383" s="2">
        <f t="shared" si="34"/>
        <v>1</v>
      </c>
      <c r="I383" s="24">
        <f t="shared" si="38"/>
        <v>-1</v>
      </c>
      <c r="J383" s="24">
        <f t="shared" si="39"/>
        <v>2</v>
      </c>
      <c r="K383" s="17">
        <f t="shared" si="35"/>
        <v>-2</v>
      </c>
      <c r="M383" s="15">
        <f t="shared" ca="1" si="36"/>
        <v>0</v>
      </c>
      <c r="N383" s="15">
        <f t="shared" ca="1" si="37"/>
        <v>42035</v>
      </c>
      <c r="Z383" s="1"/>
    </row>
    <row r="384" spans="3:26" x14ac:dyDescent="0.2">
      <c r="C384" s="39"/>
      <c r="D384" s="39"/>
      <c r="E384" s="38">
        <f>[2]!expavg($T$9:$T$26,$R$9:$R$26,K384,H384)</f>
        <v>0.60472044954610527</v>
      </c>
      <c r="F384" s="38" t="str">
        <f>[2]!expavg2($T$9:$T$26,I384,J384,$R$9:$R$26)</f>
        <v>ERROR: Please use BegPeriod &gt;= 1.</v>
      </c>
      <c r="H384" s="2">
        <f t="shared" si="34"/>
        <v>0</v>
      </c>
      <c r="I384" s="24">
        <f t="shared" si="38"/>
        <v>-1</v>
      </c>
      <c r="J384" s="24">
        <f t="shared" si="39"/>
        <v>1</v>
      </c>
      <c r="K384" s="17">
        <f t="shared" si="35"/>
        <v>-1</v>
      </c>
      <c r="M384" s="15">
        <f t="shared" ca="1" si="36"/>
        <v>0</v>
      </c>
      <c r="N384" s="15">
        <f t="shared" ca="1" si="37"/>
        <v>42400</v>
      </c>
      <c r="Z384" s="1"/>
    </row>
    <row r="385" spans="3:26" x14ac:dyDescent="0.2">
      <c r="C385" s="39"/>
      <c r="D385" s="39"/>
      <c r="E385" s="38">
        <f>[2]!expavg($T$9:$T$26,$R$9:$R$26,K385,H385)</f>
        <v>0.60472044954610527</v>
      </c>
      <c r="F385" s="38" t="str">
        <f>[2]!expavg2($T$9:$T$26,I385,J385,$R$9:$R$26)</f>
        <v>ERROR: Please use BegPeriod &gt;= 1.</v>
      </c>
      <c r="H385" s="2">
        <f t="shared" si="34"/>
        <v>-1</v>
      </c>
      <c r="I385" s="24">
        <f t="shared" si="38"/>
        <v>-1</v>
      </c>
      <c r="J385" s="24">
        <f t="shared" si="39"/>
        <v>0</v>
      </c>
      <c r="K385" s="17">
        <f t="shared" si="35"/>
        <v>0</v>
      </c>
      <c r="M385" s="15">
        <f t="shared" ca="1" si="36"/>
        <v>0</v>
      </c>
      <c r="N385" s="15">
        <f t="shared" ca="1" si="37"/>
        <v>0</v>
      </c>
      <c r="Z385" s="1"/>
    </row>
    <row r="386" spans="3:26" x14ac:dyDescent="0.2">
      <c r="C386" s="39"/>
      <c r="D386" s="39"/>
      <c r="E386" s="38">
        <f>[2]!expavg($T$9:$T$26,$R$9:$R$26,K386,H386)</f>
        <v>0.55373443055729787</v>
      </c>
      <c r="F386" s="38" t="str">
        <f>[2]!expavg2($T$9:$T$26,I386,J386,$R$9:$R$26)</f>
        <v>ERROR: Please use BegPeriod &gt;= 1.</v>
      </c>
      <c r="H386" s="2">
        <f t="shared" si="34"/>
        <v>-2</v>
      </c>
      <c r="I386" s="24">
        <f t="shared" si="38"/>
        <v>-1</v>
      </c>
      <c r="J386" s="24">
        <f t="shared" si="39"/>
        <v>-1</v>
      </c>
      <c r="K386" s="17">
        <f t="shared" si="35"/>
        <v>1</v>
      </c>
      <c r="M386" s="15">
        <f t="shared" ca="1" si="36"/>
        <v>0</v>
      </c>
      <c r="N386" s="15">
        <f t="shared" ca="1" si="37"/>
        <v>0</v>
      </c>
      <c r="Z386" s="1"/>
    </row>
    <row r="387" spans="3:26" x14ac:dyDescent="0.2">
      <c r="C387" s="39"/>
      <c r="D387" s="39"/>
      <c r="E387" s="38">
        <f>[2]!expavg($T$9:$T$26,$R$9:$R$26,K387,H387)</f>
        <v>0.70939186407915755</v>
      </c>
      <c r="F387" s="38" t="str">
        <f>[2]!expavg2($T$9:$T$26,I387,J387,$R$9:$R$26)</f>
        <v>ERROR: Please use BegPeriod &gt;= 1.</v>
      </c>
      <c r="H387" s="2">
        <f t="shared" si="34"/>
        <v>14</v>
      </c>
      <c r="I387" s="24">
        <f t="shared" si="38"/>
        <v>-2</v>
      </c>
      <c r="J387" s="24">
        <f t="shared" si="39"/>
        <v>15</v>
      </c>
      <c r="K387" s="17">
        <f t="shared" si="35"/>
        <v>-16</v>
      </c>
      <c r="M387" s="15">
        <f t="shared" ca="1" si="36"/>
        <v>0</v>
      </c>
      <c r="N387" s="15">
        <f t="shared" ca="1" si="37"/>
        <v>37287</v>
      </c>
      <c r="Z387" s="1"/>
    </row>
    <row r="388" spans="3:26" x14ac:dyDescent="0.2">
      <c r="C388" s="39"/>
      <c r="D388" s="39"/>
      <c r="E388" s="38">
        <f>[2]!expavg($T$9:$T$26,$R$9:$R$26,K388,H388)</f>
        <v>0.67177139323204882</v>
      </c>
      <c r="F388" s="38" t="str">
        <f>[2]!expavg2($T$9:$T$26,I388,J388,$R$9:$R$26)</f>
        <v>ERROR: Please use BegPeriod &gt;= 1.</v>
      </c>
      <c r="H388" s="2">
        <f t="shared" si="34"/>
        <v>13</v>
      </c>
      <c r="I388" s="24">
        <f t="shared" si="38"/>
        <v>-2</v>
      </c>
      <c r="J388" s="24">
        <f t="shared" si="39"/>
        <v>14</v>
      </c>
      <c r="K388" s="17">
        <f t="shared" si="35"/>
        <v>-15</v>
      </c>
      <c r="M388" s="15">
        <f t="shared" ca="1" si="36"/>
        <v>0</v>
      </c>
      <c r="N388" s="15">
        <f t="shared" ca="1" si="37"/>
        <v>37652</v>
      </c>
      <c r="Z388" s="1"/>
    </row>
    <row r="389" spans="3:26" x14ac:dyDescent="0.2">
      <c r="C389" s="39"/>
      <c r="D389" s="39"/>
      <c r="E389" s="38">
        <f>[2]!expavg($T$9:$T$26,$R$9:$R$26,K389,H389)</f>
        <v>0.66945167850810816</v>
      </c>
      <c r="F389" s="38" t="str">
        <f>[2]!expavg2($T$9:$T$26,I389,J389,$R$9:$R$26)</f>
        <v>ERROR: Please use BegPeriod &gt;= 1.</v>
      </c>
      <c r="H389" s="2">
        <f t="shared" si="34"/>
        <v>12</v>
      </c>
      <c r="I389" s="24">
        <f t="shared" si="38"/>
        <v>-2</v>
      </c>
      <c r="J389" s="24">
        <f t="shared" si="39"/>
        <v>13</v>
      </c>
      <c r="K389" s="17">
        <f t="shared" si="35"/>
        <v>-14</v>
      </c>
      <c r="M389" s="15">
        <f t="shared" ca="1" si="36"/>
        <v>0</v>
      </c>
      <c r="N389" s="15">
        <f t="shared" ca="1" si="37"/>
        <v>38017</v>
      </c>
      <c r="Z389" s="1"/>
    </row>
    <row r="390" spans="3:26" x14ac:dyDescent="0.2">
      <c r="C390" s="39"/>
      <c r="D390" s="39"/>
      <c r="E390" s="38">
        <f>[2]!expavg($T$9:$T$26,$R$9:$R$26,K390,H390)</f>
        <v>0.67904388723605558</v>
      </c>
      <c r="F390" s="38" t="str">
        <f>[2]!expavg2($T$9:$T$26,I390,J390,$R$9:$R$26)</f>
        <v>ERROR: Please use BegPeriod &gt;= 1.</v>
      </c>
      <c r="H390" s="2">
        <f t="shared" si="34"/>
        <v>11</v>
      </c>
      <c r="I390" s="24">
        <f t="shared" si="38"/>
        <v>-2</v>
      </c>
      <c r="J390" s="24">
        <f t="shared" si="39"/>
        <v>12</v>
      </c>
      <c r="K390" s="17">
        <f t="shared" si="35"/>
        <v>-13</v>
      </c>
      <c r="M390" s="15">
        <f t="shared" ca="1" si="36"/>
        <v>0</v>
      </c>
      <c r="N390" s="15">
        <f t="shared" ca="1" si="37"/>
        <v>38383</v>
      </c>
      <c r="Z390" s="1"/>
    </row>
    <row r="391" spans="3:26" x14ac:dyDescent="0.2">
      <c r="C391" s="39"/>
      <c r="D391" s="39"/>
      <c r="E391" s="38">
        <f>[2]!expavg($T$9:$T$26,$R$9:$R$26,K391,H391)</f>
        <v>0.68957279758642287</v>
      </c>
      <c r="F391" s="38" t="str">
        <f>[2]!expavg2($T$9:$T$26,I391,J391,$R$9:$R$26)</f>
        <v>ERROR: Please use BegPeriod &gt;= 1.</v>
      </c>
      <c r="H391" s="2">
        <f t="shared" si="34"/>
        <v>10</v>
      </c>
      <c r="I391" s="24">
        <f t="shared" si="38"/>
        <v>-2</v>
      </c>
      <c r="J391" s="24">
        <f t="shared" si="39"/>
        <v>11</v>
      </c>
      <c r="K391" s="17">
        <f t="shared" si="35"/>
        <v>-12</v>
      </c>
      <c r="M391" s="15">
        <f t="shared" ca="1" si="36"/>
        <v>0</v>
      </c>
      <c r="N391" s="15">
        <f t="shared" ca="1" si="37"/>
        <v>38748</v>
      </c>
      <c r="Z391" s="1"/>
    </row>
    <row r="392" spans="3:26" x14ac:dyDescent="0.2">
      <c r="C392" s="39"/>
      <c r="D392" s="39"/>
      <c r="E392" s="38">
        <f>[2]!expavg($T$9:$T$26,$R$9:$R$26,K392,H392)</f>
        <v>0.67160897630855276</v>
      </c>
      <c r="F392" s="38" t="str">
        <f>[2]!expavg2($T$9:$T$26,I392,J392,$R$9:$R$26)</f>
        <v>ERROR: Please use BegPeriod &gt;= 1.</v>
      </c>
      <c r="H392" s="2">
        <f t="shared" si="34"/>
        <v>9</v>
      </c>
      <c r="I392" s="24">
        <f t="shared" si="38"/>
        <v>-2</v>
      </c>
      <c r="J392" s="24">
        <f t="shared" si="39"/>
        <v>10</v>
      </c>
      <c r="K392" s="17">
        <f t="shared" si="35"/>
        <v>-11</v>
      </c>
      <c r="M392" s="15">
        <f t="shared" ca="1" si="36"/>
        <v>0</v>
      </c>
      <c r="N392" s="15">
        <f t="shared" ca="1" si="37"/>
        <v>39113</v>
      </c>
      <c r="Z392" s="1"/>
    </row>
    <row r="393" spans="3:26" x14ac:dyDescent="0.2">
      <c r="C393" s="39"/>
      <c r="D393" s="39"/>
      <c r="E393" s="38">
        <f>[2]!expavg($T$9:$T$26,$R$9:$R$26,K393,H393)</f>
        <v>0.66527157980250695</v>
      </c>
      <c r="F393" s="38" t="str">
        <f>[2]!expavg2($T$9:$T$26,I393,J393,$R$9:$R$26)</f>
        <v>ERROR: Please use BegPeriod &gt;= 1.</v>
      </c>
      <c r="H393" s="2">
        <f t="shared" si="34"/>
        <v>8</v>
      </c>
      <c r="I393" s="24">
        <f t="shared" si="38"/>
        <v>-2</v>
      </c>
      <c r="J393" s="24">
        <f t="shared" si="39"/>
        <v>9</v>
      </c>
      <c r="K393" s="17">
        <f t="shared" si="35"/>
        <v>-10</v>
      </c>
      <c r="M393" s="15">
        <f t="shared" ca="1" si="36"/>
        <v>0</v>
      </c>
      <c r="N393" s="15">
        <f t="shared" ca="1" si="37"/>
        <v>39478</v>
      </c>
      <c r="Z393" s="1"/>
    </row>
    <row r="394" spans="3:26" x14ac:dyDescent="0.2">
      <c r="C394" s="39"/>
      <c r="D394" s="39"/>
      <c r="E394" s="38">
        <f>[2]!expavg($T$9:$T$26,$R$9:$R$26,K394,H394)</f>
        <v>0.68450987024306864</v>
      </c>
      <c r="F394" s="38" t="str">
        <f>[2]!expavg2($T$9:$T$26,I394,J394,$R$9:$R$26)</f>
        <v>ERROR: Please use BegPeriod &gt;= 1.</v>
      </c>
      <c r="H394" s="2">
        <f t="shared" si="34"/>
        <v>7</v>
      </c>
      <c r="I394" s="24">
        <f t="shared" si="38"/>
        <v>-2</v>
      </c>
      <c r="J394" s="24">
        <f t="shared" si="39"/>
        <v>8</v>
      </c>
      <c r="K394" s="17">
        <f t="shared" si="35"/>
        <v>-9</v>
      </c>
      <c r="M394" s="15">
        <f t="shared" ca="1" si="36"/>
        <v>0</v>
      </c>
      <c r="N394" s="15">
        <f t="shared" ca="1" si="37"/>
        <v>39844</v>
      </c>
      <c r="Z394" s="1"/>
    </row>
    <row r="395" spans="3:26" x14ac:dyDescent="0.2">
      <c r="C395" s="39"/>
      <c r="D395" s="39"/>
      <c r="E395" s="38">
        <f>[2]!expavg($T$9:$T$26,$R$9:$R$26,K395,H395)</f>
        <v>0.67627397338659268</v>
      </c>
      <c r="F395" s="38" t="str">
        <f>[2]!expavg2($T$9:$T$26,I395,J395,$R$9:$R$26)</f>
        <v>ERROR: Please use BegPeriod &gt;= 1.</v>
      </c>
      <c r="H395" s="2">
        <f t="shared" si="34"/>
        <v>6</v>
      </c>
      <c r="I395" s="24">
        <f t="shared" si="38"/>
        <v>-2</v>
      </c>
      <c r="J395" s="24">
        <f t="shared" si="39"/>
        <v>7</v>
      </c>
      <c r="K395" s="17">
        <f t="shared" si="35"/>
        <v>-8</v>
      </c>
      <c r="M395" s="15">
        <f t="shared" ca="1" si="36"/>
        <v>0</v>
      </c>
      <c r="N395" s="15">
        <f t="shared" ca="1" si="37"/>
        <v>40209</v>
      </c>
      <c r="Z395" s="1"/>
    </row>
    <row r="396" spans="3:26" x14ac:dyDescent="0.2">
      <c r="C396" s="39"/>
      <c r="D396" s="39"/>
      <c r="E396" s="38">
        <f>[2]!expavg($T$9:$T$26,$R$9:$R$26,K396,H396)</f>
        <v>0.66006899259190965</v>
      </c>
      <c r="F396" s="38" t="str">
        <f>[2]!expavg2($T$9:$T$26,I396,J396,$R$9:$R$26)</f>
        <v>ERROR: Please use BegPeriod &gt;= 1.</v>
      </c>
      <c r="H396" s="2">
        <f t="shared" si="34"/>
        <v>5</v>
      </c>
      <c r="I396" s="24">
        <f t="shared" si="38"/>
        <v>-2</v>
      </c>
      <c r="J396" s="24">
        <f t="shared" si="39"/>
        <v>6</v>
      </c>
      <c r="K396" s="17">
        <f t="shared" si="35"/>
        <v>-7</v>
      </c>
      <c r="M396" s="15">
        <f t="shared" ca="1" si="36"/>
        <v>0</v>
      </c>
      <c r="N396" s="15">
        <f t="shared" ca="1" si="37"/>
        <v>40574</v>
      </c>
      <c r="Z396" s="1"/>
    </row>
    <row r="397" spans="3:26" x14ac:dyDescent="0.2">
      <c r="C397" s="39"/>
      <c r="D397" s="39"/>
      <c r="E397" s="38">
        <f>[2]!expavg($T$9:$T$26,$R$9:$R$26,K397,H397)</f>
        <v>0.64048216018789683</v>
      </c>
      <c r="F397" s="38" t="str">
        <f>[2]!expavg2($T$9:$T$26,I397,J397,$R$9:$R$26)</f>
        <v>ERROR: Please use BegPeriod &gt;= 1.</v>
      </c>
      <c r="H397" s="2">
        <f t="shared" si="34"/>
        <v>4</v>
      </c>
      <c r="I397" s="24">
        <f t="shared" si="38"/>
        <v>-2</v>
      </c>
      <c r="J397" s="24">
        <f t="shared" si="39"/>
        <v>5</v>
      </c>
      <c r="K397" s="17">
        <f t="shared" si="35"/>
        <v>-6</v>
      </c>
      <c r="M397" s="15">
        <f t="shared" ca="1" si="36"/>
        <v>0</v>
      </c>
      <c r="N397" s="15">
        <f t="shared" ca="1" si="37"/>
        <v>40939</v>
      </c>
      <c r="Z397" s="1"/>
    </row>
    <row r="398" spans="3:26" x14ac:dyDescent="0.2">
      <c r="C398" s="39"/>
      <c r="D398" s="39"/>
      <c r="E398" s="38">
        <f>[2]!expavg($T$9:$T$26,$R$9:$R$26,K398,H398)</f>
        <v>0.62815488340610859</v>
      </c>
      <c r="F398" s="38" t="str">
        <f>[2]!expavg2($T$9:$T$26,I398,J398,$R$9:$R$26)</f>
        <v>ERROR: Please use BegPeriod &gt;= 1.</v>
      </c>
      <c r="H398" s="2">
        <f t="shared" si="34"/>
        <v>3</v>
      </c>
      <c r="I398" s="24">
        <f t="shared" si="38"/>
        <v>-2</v>
      </c>
      <c r="J398" s="24">
        <f t="shared" si="39"/>
        <v>4</v>
      </c>
      <c r="K398" s="17">
        <f t="shared" si="35"/>
        <v>-5</v>
      </c>
      <c r="M398" s="15">
        <f t="shared" ca="1" si="36"/>
        <v>0</v>
      </c>
      <c r="N398" s="15">
        <f t="shared" ca="1" si="37"/>
        <v>41305</v>
      </c>
      <c r="Z398" s="1"/>
    </row>
    <row r="399" spans="3:26" x14ac:dyDescent="0.2">
      <c r="C399" s="39"/>
      <c r="D399" s="39"/>
      <c r="E399" s="38">
        <f>[2]!expavg($T$9:$T$26,$R$9:$R$26,K399,H399)</f>
        <v>0.62040838094689943</v>
      </c>
      <c r="F399" s="38" t="str">
        <f>[2]!expavg2($T$9:$T$26,I399,J399,$R$9:$R$26)</f>
        <v>ERROR: Please use BegPeriod &gt;= 1.</v>
      </c>
      <c r="H399" s="2">
        <f t="shared" si="34"/>
        <v>2</v>
      </c>
      <c r="I399" s="24">
        <f t="shared" si="38"/>
        <v>-2</v>
      </c>
      <c r="J399" s="24">
        <f t="shared" si="39"/>
        <v>3</v>
      </c>
      <c r="K399" s="17">
        <f t="shared" si="35"/>
        <v>-4</v>
      </c>
      <c r="M399" s="15">
        <f t="shared" ca="1" si="36"/>
        <v>0</v>
      </c>
      <c r="N399" s="15">
        <f t="shared" ca="1" si="37"/>
        <v>41670</v>
      </c>
      <c r="Z399" s="1"/>
    </row>
    <row r="400" spans="3:26" x14ac:dyDescent="0.2">
      <c r="C400" s="39"/>
      <c r="D400" s="39"/>
      <c r="E400" s="38">
        <f>[2]!expavg($T$9:$T$26,$R$9:$R$26,K400,H400)</f>
        <v>0.60752408974439076</v>
      </c>
      <c r="F400" s="38" t="str">
        <f>[2]!expavg2($T$9:$T$26,I400,J400,$R$9:$R$26)</f>
        <v>ERROR: Please use BegPeriod &gt;= 1.</v>
      </c>
      <c r="H400" s="2">
        <f t="shared" si="34"/>
        <v>1</v>
      </c>
      <c r="I400" s="24">
        <f t="shared" si="38"/>
        <v>-2</v>
      </c>
      <c r="J400" s="24">
        <f t="shared" si="39"/>
        <v>2</v>
      </c>
      <c r="K400" s="17">
        <f t="shared" si="35"/>
        <v>-3</v>
      </c>
      <c r="M400" s="15">
        <f t="shared" ca="1" si="36"/>
        <v>0</v>
      </c>
      <c r="N400" s="15">
        <f t="shared" ca="1" si="37"/>
        <v>42035</v>
      </c>
      <c r="Z400" s="1"/>
    </row>
    <row r="401" spans="3:26" x14ac:dyDescent="0.2">
      <c r="C401" s="39"/>
      <c r="D401" s="39"/>
      <c r="E401" s="38">
        <f>[2]!expavg($T$9:$T$26,$R$9:$R$26,K401,H401)</f>
        <v>0.60472044954610527</v>
      </c>
      <c r="F401" s="38" t="str">
        <f>[2]!expavg2($T$9:$T$26,I401,J401,$R$9:$R$26)</f>
        <v>ERROR: Please use BegPeriod &gt;= 1.</v>
      </c>
      <c r="H401" s="2">
        <f t="shared" si="34"/>
        <v>0</v>
      </c>
      <c r="I401" s="24">
        <f t="shared" si="38"/>
        <v>-2</v>
      </c>
      <c r="J401" s="24">
        <f t="shared" si="39"/>
        <v>1</v>
      </c>
      <c r="K401" s="17">
        <f t="shared" si="35"/>
        <v>-2</v>
      </c>
      <c r="M401" s="15">
        <f t="shared" ca="1" si="36"/>
        <v>0</v>
      </c>
      <c r="N401" s="15">
        <f t="shared" ca="1" si="37"/>
        <v>42400</v>
      </c>
      <c r="Z401" s="1"/>
    </row>
    <row r="402" spans="3:26" x14ac:dyDescent="0.2">
      <c r="C402" s="39"/>
      <c r="D402" s="39"/>
      <c r="E402" s="38">
        <f>[2]!expavg($T$9:$T$26,$R$9:$R$26,K402,H402)</f>
        <v>0.60472044954610527</v>
      </c>
      <c r="F402" s="38" t="str">
        <f>[2]!expavg2($T$9:$T$26,I402,J402,$R$9:$R$26)</f>
        <v>ERROR: Please use BegPeriod &gt;= 1.</v>
      </c>
      <c r="H402" s="2">
        <f t="shared" si="34"/>
        <v>-1</v>
      </c>
      <c r="I402" s="24">
        <f t="shared" si="38"/>
        <v>-2</v>
      </c>
      <c r="J402" s="24">
        <f t="shared" si="39"/>
        <v>0</v>
      </c>
      <c r="K402" s="17">
        <f t="shared" si="35"/>
        <v>-1</v>
      </c>
      <c r="M402" s="15">
        <f t="shared" ca="1" si="36"/>
        <v>0</v>
      </c>
      <c r="N402" s="15">
        <f t="shared" ca="1" si="37"/>
        <v>0</v>
      </c>
      <c r="Z402" s="1"/>
    </row>
    <row r="403" spans="3:26" x14ac:dyDescent="0.2">
      <c r="C403" s="39"/>
      <c r="D403" s="39"/>
      <c r="E403" s="38">
        <f>[2]!expavg($T$9:$T$26,$R$9:$R$26,K403,H403)</f>
        <v>0.60472044954610527</v>
      </c>
      <c r="F403" s="38" t="str">
        <f>[2]!expavg2($T$9:$T$26,I403,J403,$R$9:$R$26)</f>
        <v>ERROR: Please use BegPeriod &gt;= 1.</v>
      </c>
      <c r="H403" s="2">
        <f t="shared" si="34"/>
        <v>-2</v>
      </c>
      <c r="I403" s="24">
        <f t="shared" si="38"/>
        <v>-2</v>
      </c>
      <c r="J403" s="24">
        <f t="shared" si="39"/>
        <v>-1</v>
      </c>
      <c r="K403" s="17">
        <f t="shared" si="35"/>
        <v>0</v>
      </c>
      <c r="M403" s="15">
        <f t="shared" ca="1" si="36"/>
        <v>0</v>
      </c>
      <c r="N403" s="15">
        <f t="shared" ca="1" si="37"/>
        <v>0</v>
      </c>
      <c r="Z403" s="1"/>
    </row>
    <row r="404" spans="3:26" x14ac:dyDescent="0.2">
      <c r="C404" s="39"/>
      <c r="D404" s="39"/>
      <c r="E404" s="38">
        <f>[2]!expavg($T$9:$T$26,$R$9:$R$26,K404,H404)</f>
        <v>0.70939186407915755</v>
      </c>
      <c r="F404" s="38" t="str">
        <f>[2]!expavg2($T$9:$T$26,I404,J404,$R$9:$R$26)</f>
        <v>ERROR: Please use BegPeriod &gt;= 1.</v>
      </c>
      <c r="H404" s="2">
        <f t="shared" si="34"/>
        <v>14</v>
      </c>
      <c r="I404" s="24">
        <f t="shared" si="38"/>
        <v>-3</v>
      </c>
      <c r="J404" s="24">
        <f t="shared" si="39"/>
        <v>15</v>
      </c>
      <c r="K404" s="17">
        <f t="shared" si="35"/>
        <v>-17</v>
      </c>
      <c r="M404" s="15">
        <f t="shared" ca="1" si="36"/>
        <v>0</v>
      </c>
      <c r="N404" s="15">
        <f t="shared" ca="1" si="37"/>
        <v>37287</v>
      </c>
      <c r="Z404" s="1"/>
    </row>
    <row r="405" spans="3:26" x14ac:dyDescent="0.2">
      <c r="C405" s="39"/>
      <c r="D405" s="39"/>
      <c r="E405" s="38">
        <f>[2]!expavg($T$9:$T$26,$R$9:$R$26,K405,H405)</f>
        <v>0.67177139323204882</v>
      </c>
      <c r="F405" s="38" t="str">
        <f>[2]!expavg2($T$9:$T$26,I405,J405,$R$9:$R$26)</f>
        <v>ERROR: Please use BegPeriod &gt;= 1.</v>
      </c>
      <c r="H405" s="2">
        <f t="shared" si="34"/>
        <v>13</v>
      </c>
      <c r="I405" s="24">
        <f t="shared" si="38"/>
        <v>-3</v>
      </c>
      <c r="J405" s="24">
        <f t="shared" si="39"/>
        <v>14</v>
      </c>
      <c r="K405" s="17">
        <f t="shared" si="35"/>
        <v>-16</v>
      </c>
      <c r="M405" s="15">
        <f t="shared" ca="1" si="36"/>
        <v>0</v>
      </c>
      <c r="N405" s="15">
        <f t="shared" ca="1" si="37"/>
        <v>37652</v>
      </c>
      <c r="Z405" s="1"/>
    </row>
    <row r="406" spans="3:26" x14ac:dyDescent="0.2">
      <c r="C406" s="39"/>
      <c r="D406" s="39"/>
      <c r="E406" s="38">
        <f>[2]!expavg($T$9:$T$26,$R$9:$R$26,K406,H406)</f>
        <v>0.66945167850810816</v>
      </c>
      <c r="F406" s="38" t="str">
        <f>[2]!expavg2($T$9:$T$26,I406,J406,$R$9:$R$26)</f>
        <v>ERROR: Please use BegPeriod &gt;= 1.</v>
      </c>
      <c r="H406" s="2">
        <f t="shared" si="34"/>
        <v>12</v>
      </c>
      <c r="I406" s="24">
        <f t="shared" si="38"/>
        <v>-3</v>
      </c>
      <c r="J406" s="24">
        <f t="shared" si="39"/>
        <v>13</v>
      </c>
      <c r="K406" s="17">
        <f t="shared" si="35"/>
        <v>-15</v>
      </c>
      <c r="M406" s="15">
        <f t="shared" ca="1" si="36"/>
        <v>0</v>
      </c>
      <c r="N406" s="15">
        <f t="shared" ca="1" si="37"/>
        <v>38017</v>
      </c>
      <c r="Z406" s="1"/>
    </row>
    <row r="407" spans="3:26" x14ac:dyDescent="0.2">
      <c r="C407" s="39"/>
      <c r="D407" s="39"/>
      <c r="E407" s="38">
        <f>[2]!expavg($T$9:$T$26,$R$9:$R$26,K407,H407)</f>
        <v>0.67904388723605558</v>
      </c>
      <c r="F407" s="38" t="str">
        <f>[2]!expavg2($T$9:$T$26,I407,J407,$R$9:$R$26)</f>
        <v>ERROR: Please use BegPeriod &gt;= 1.</v>
      </c>
      <c r="H407" s="2">
        <f t="shared" si="34"/>
        <v>11</v>
      </c>
      <c r="I407" s="24">
        <f t="shared" si="38"/>
        <v>-3</v>
      </c>
      <c r="J407" s="24">
        <f t="shared" si="39"/>
        <v>12</v>
      </c>
      <c r="K407" s="17">
        <f t="shared" si="35"/>
        <v>-14</v>
      </c>
      <c r="M407" s="15">
        <f t="shared" ca="1" si="36"/>
        <v>0</v>
      </c>
      <c r="N407" s="15">
        <f t="shared" ca="1" si="37"/>
        <v>38383</v>
      </c>
      <c r="Z407" s="1"/>
    </row>
    <row r="408" spans="3:26" x14ac:dyDescent="0.2">
      <c r="C408" s="39"/>
      <c r="D408" s="39"/>
      <c r="E408" s="38">
        <f>[2]!expavg($T$9:$T$26,$R$9:$R$26,K408,H408)</f>
        <v>0.68957279758642287</v>
      </c>
      <c r="F408" s="38" t="str">
        <f>[2]!expavg2($T$9:$T$26,I408,J408,$R$9:$R$26)</f>
        <v>ERROR: Please use BegPeriod &gt;= 1.</v>
      </c>
      <c r="H408" s="2">
        <f t="shared" si="34"/>
        <v>10</v>
      </c>
      <c r="I408" s="24">
        <f t="shared" si="38"/>
        <v>-3</v>
      </c>
      <c r="J408" s="24">
        <f t="shared" si="39"/>
        <v>11</v>
      </c>
      <c r="K408" s="17">
        <f t="shared" si="35"/>
        <v>-13</v>
      </c>
      <c r="M408" s="15">
        <f t="shared" ca="1" si="36"/>
        <v>0</v>
      </c>
      <c r="N408" s="15">
        <f t="shared" ca="1" si="37"/>
        <v>38748</v>
      </c>
      <c r="Z408" s="1"/>
    </row>
    <row r="409" spans="3:26" x14ac:dyDescent="0.2">
      <c r="C409" s="39"/>
      <c r="D409" s="39"/>
      <c r="E409" s="38">
        <f>[2]!expavg($T$9:$T$26,$R$9:$R$26,K409,H409)</f>
        <v>0.67160897630855276</v>
      </c>
      <c r="F409" s="38" t="str">
        <f>[2]!expavg2($T$9:$T$26,I409,J409,$R$9:$R$26)</f>
        <v>ERROR: Please use BegPeriod &gt;= 1.</v>
      </c>
      <c r="H409" s="2">
        <f t="shared" si="34"/>
        <v>9</v>
      </c>
      <c r="I409" s="24">
        <f t="shared" si="38"/>
        <v>-3</v>
      </c>
      <c r="J409" s="24">
        <f t="shared" si="39"/>
        <v>10</v>
      </c>
      <c r="K409" s="17">
        <f t="shared" si="35"/>
        <v>-12</v>
      </c>
      <c r="M409" s="15">
        <f t="shared" ca="1" si="36"/>
        <v>0</v>
      </c>
      <c r="N409" s="15">
        <f t="shared" ca="1" si="37"/>
        <v>39113</v>
      </c>
      <c r="Z409" s="1"/>
    </row>
    <row r="410" spans="3:26" x14ac:dyDescent="0.2">
      <c r="C410" s="39"/>
      <c r="D410" s="39"/>
      <c r="E410" s="38">
        <f>[2]!expavg($T$9:$T$26,$R$9:$R$26,K410,H410)</f>
        <v>0.66527157980250695</v>
      </c>
      <c r="F410" s="38" t="str">
        <f>[2]!expavg2($T$9:$T$26,I410,J410,$R$9:$R$26)</f>
        <v>ERROR: Please use BegPeriod &gt;= 1.</v>
      </c>
      <c r="H410" s="2">
        <f t="shared" si="34"/>
        <v>8</v>
      </c>
      <c r="I410" s="24">
        <f t="shared" si="38"/>
        <v>-3</v>
      </c>
      <c r="J410" s="24">
        <f t="shared" si="39"/>
        <v>9</v>
      </c>
      <c r="K410" s="17">
        <f t="shared" si="35"/>
        <v>-11</v>
      </c>
      <c r="M410" s="15">
        <f t="shared" ca="1" si="36"/>
        <v>0</v>
      </c>
      <c r="N410" s="15">
        <f t="shared" ca="1" si="37"/>
        <v>39478</v>
      </c>
      <c r="Z410" s="1"/>
    </row>
    <row r="411" spans="3:26" x14ac:dyDescent="0.2">
      <c r="C411" s="39"/>
      <c r="D411" s="39"/>
      <c r="E411" s="38">
        <f>[2]!expavg($T$9:$T$26,$R$9:$R$26,K411,H411)</f>
        <v>0.68450987024306864</v>
      </c>
      <c r="F411" s="38" t="str">
        <f>[2]!expavg2($T$9:$T$26,I411,J411,$R$9:$R$26)</f>
        <v>ERROR: Please use BegPeriod &gt;= 1.</v>
      </c>
      <c r="H411" s="2">
        <f t="shared" si="34"/>
        <v>7</v>
      </c>
      <c r="I411" s="24">
        <f t="shared" si="38"/>
        <v>-3</v>
      </c>
      <c r="J411" s="24">
        <f t="shared" si="39"/>
        <v>8</v>
      </c>
      <c r="K411" s="17">
        <f t="shared" si="35"/>
        <v>-10</v>
      </c>
      <c r="M411" s="15">
        <f t="shared" ca="1" si="36"/>
        <v>0</v>
      </c>
      <c r="N411" s="15">
        <f t="shared" ca="1" si="37"/>
        <v>39844</v>
      </c>
      <c r="Z411" s="1"/>
    </row>
    <row r="412" spans="3:26" x14ac:dyDescent="0.2">
      <c r="C412" s="39"/>
      <c r="D412" s="39"/>
      <c r="E412" s="38">
        <f>[2]!expavg($T$9:$T$26,$R$9:$R$26,K412,H412)</f>
        <v>0.67627397338659268</v>
      </c>
      <c r="F412" s="38" t="str">
        <f>[2]!expavg2($T$9:$T$26,I412,J412,$R$9:$R$26)</f>
        <v>ERROR: Please use BegPeriod &gt;= 1.</v>
      </c>
      <c r="H412" s="2">
        <f t="shared" si="34"/>
        <v>6</v>
      </c>
      <c r="I412" s="24">
        <f t="shared" si="38"/>
        <v>-3</v>
      </c>
      <c r="J412" s="24">
        <f t="shared" si="39"/>
        <v>7</v>
      </c>
      <c r="K412" s="17">
        <f t="shared" si="35"/>
        <v>-9</v>
      </c>
      <c r="M412" s="15">
        <f t="shared" ca="1" si="36"/>
        <v>0</v>
      </c>
      <c r="N412" s="15">
        <f t="shared" ca="1" si="37"/>
        <v>40209</v>
      </c>
      <c r="Z412" s="1"/>
    </row>
    <row r="413" spans="3:26" x14ac:dyDescent="0.2">
      <c r="C413" s="39"/>
      <c r="D413" s="39"/>
      <c r="E413" s="38">
        <f>[2]!expavg($T$9:$T$26,$R$9:$R$26,K413,H413)</f>
        <v>0.66006899259190965</v>
      </c>
      <c r="F413" s="38" t="str">
        <f>[2]!expavg2($T$9:$T$26,I413,J413,$R$9:$R$26)</f>
        <v>ERROR: Please use BegPeriod &gt;= 1.</v>
      </c>
      <c r="H413" s="2">
        <f t="shared" si="34"/>
        <v>5</v>
      </c>
      <c r="I413" s="24">
        <f t="shared" si="38"/>
        <v>-3</v>
      </c>
      <c r="J413" s="24">
        <f t="shared" si="39"/>
        <v>6</v>
      </c>
      <c r="K413" s="17">
        <f t="shared" si="35"/>
        <v>-8</v>
      </c>
      <c r="M413" s="15">
        <f t="shared" ca="1" si="36"/>
        <v>0</v>
      </c>
      <c r="N413" s="15">
        <f t="shared" ca="1" si="37"/>
        <v>40574</v>
      </c>
      <c r="Z413" s="1"/>
    </row>
    <row r="414" spans="3:26" x14ac:dyDescent="0.2">
      <c r="C414" s="39"/>
      <c r="D414" s="39"/>
      <c r="E414" s="38">
        <f>[2]!expavg($T$9:$T$26,$R$9:$R$26,K414,H414)</f>
        <v>0.64048216018789683</v>
      </c>
      <c r="F414" s="38" t="str">
        <f>[2]!expavg2($T$9:$T$26,I414,J414,$R$9:$R$26)</f>
        <v>ERROR: Please use BegPeriod &gt;= 1.</v>
      </c>
      <c r="H414" s="2">
        <f t="shared" si="34"/>
        <v>4</v>
      </c>
      <c r="I414" s="24">
        <f t="shared" si="38"/>
        <v>-3</v>
      </c>
      <c r="J414" s="24">
        <f t="shared" si="39"/>
        <v>5</v>
      </c>
      <c r="K414" s="17">
        <f t="shared" si="35"/>
        <v>-7</v>
      </c>
      <c r="M414" s="15">
        <f t="shared" ca="1" si="36"/>
        <v>0</v>
      </c>
      <c r="N414" s="15">
        <f t="shared" ca="1" si="37"/>
        <v>40939</v>
      </c>
      <c r="Z414" s="1"/>
    </row>
    <row r="415" spans="3:26" x14ac:dyDescent="0.2">
      <c r="C415" s="39"/>
      <c r="D415" s="39"/>
      <c r="E415" s="38">
        <f>[2]!expavg($T$9:$T$26,$R$9:$R$26,K415,H415)</f>
        <v>0.62815488340610859</v>
      </c>
      <c r="F415" s="38" t="str">
        <f>[2]!expavg2($T$9:$T$26,I415,J415,$R$9:$R$26)</f>
        <v>ERROR: Please use BegPeriod &gt;= 1.</v>
      </c>
      <c r="H415" s="2">
        <f t="shared" si="34"/>
        <v>3</v>
      </c>
      <c r="I415" s="24">
        <f t="shared" si="38"/>
        <v>-3</v>
      </c>
      <c r="J415" s="24">
        <f t="shared" si="39"/>
        <v>4</v>
      </c>
      <c r="K415" s="17">
        <f t="shared" si="35"/>
        <v>-6</v>
      </c>
      <c r="M415" s="15">
        <f t="shared" ca="1" si="36"/>
        <v>0</v>
      </c>
      <c r="N415" s="15">
        <f t="shared" ca="1" si="37"/>
        <v>41305</v>
      </c>
      <c r="Z415" s="1"/>
    </row>
    <row r="416" spans="3:26" x14ac:dyDescent="0.2">
      <c r="C416" s="39"/>
      <c r="D416" s="39"/>
      <c r="E416" s="38">
        <f>[2]!expavg($T$9:$T$26,$R$9:$R$26,K416,H416)</f>
        <v>0.62040838094689943</v>
      </c>
      <c r="F416" s="38" t="str">
        <f>[2]!expavg2($T$9:$T$26,I416,J416,$R$9:$R$26)</f>
        <v>ERROR: Please use BegPeriod &gt;= 1.</v>
      </c>
      <c r="H416" s="2">
        <f t="shared" si="34"/>
        <v>2</v>
      </c>
      <c r="I416" s="24">
        <f t="shared" si="38"/>
        <v>-3</v>
      </c>
      <c r="J416" s="24">
        <f t="shared" si="39"/>
        <v>3</v>
      </c>
      <c r="K416" s="17">
        <f t="shared" si="35"/>
        <v>-5</v>
      </c>
      <c r="M416" s="15">
        <f t="shared" ca="1" si="36"/>
        <v>0</v>
      </c>
      <c r="N416" s="15">
        <f t="shared" ca="1" si="37"/>
        <v>41670</v>
      </c>
      <c r="Z416" s="1"/>
    </row>
    <row r="417" spans="3:26" x14ac:dyDescent="0.2">
      <c r="C417" s="39"/>
      <c r="D417" s="39"/>
      <c r="E417" s="38">
        <f>[2]!expavg($T$9:$T$26,$R$9:$R$26,K417,H417)</f>
        <v>0.60752408974439076</v>
      </c>
      <c r="F417" s="38" t="str">
        <f>[2]!expavg2($T$9:$T$26,I417,J417,$R$9:$R$26)</f>
        <v>ERROR: Please use BegPeriod &gt;= 1.</v>
      </c>
      <c r="H417" s="2">
        <f t="shared" si="34"/>
        <v>1</v>
      </c>
      <c r="I417" s="24">
        <f t="shared" si="38"/>
        <v>-3</v>
      </c>
      <c r="J417" s="24">
        <f t="shared" si="39"/>
        <v>2</v>
      </c>
      <c r="K417" s="17">
        <f t="shared" si="35"/>
        <v>-4</v>
      </c>
      <c r="M417" s="15">
        <f t="shared" ca="1" si="36"/>
        <v>0</v>
      </c>
      <c r="N417" s="15">
        <f t="shared" ca="1" si="37"/>
        <v>42035</v>
      </c>
      <c r="Z417" s="1"/>
    </row>
    <row r="418" spans="3:26" x14ac:dyDescent="0.2">
      <c r="C418" s="39"/>
      <c r="D418" s="39"/>
      <c r="E418" s="38">
        <f>[2]!expavg($T$9:$T$26,$R$9:$R$26,K418,H418)</f>
        <v>0.60472044954610527</v>
      </c>
      <c r="F418" s="38" t="str">
        <f>[2]!expavg2($T$9:$T$26,I418,J418,$R$9:$R$26)</f>
        <v>ERROR: Please use BegPeriod &gt;= 1.</v>
      </c>
      <c r="H418" s="2">
        <f t="shared" si="34"/>
        <v>0</v>
      </c>
      <c r="I418" s="24">
        <f t="shared" si="38"/>
        <v>-3</v>
      </c>
      <c r="J418" s="24">
        <f t="shared" si="39"/>
        <v>1</v>
      </c>
      <c r="K418" s="17">
        <f t="shared" si="35"/>
        <v>-3</v>
      </c>
      <c r="M418" s="15">
        <f t="shared" ca="1" si="36"/>
        <v>0</v>
      </c>
      <c r="N418" s="15">
        <f t="shared" ca="1" si="37"/>
        <v>42400</v>
      </c>
      <c r="Z418" s="1"/>
    </row>
    <row r="419" spans="3:26" x14ac:dyDescent="0.2">
      <c r="C419" s="39"/>
      <c r="D419" s="39"/>
      <c r="E419" s="38">
        <f>[2]!expavg($T$9:$T$26,$R$9:$R$26,K419,H419)</f>
        <v>0.60472044954610527</v>
      </c>
      <c r="F419" s="38" t="str">
        <f>[2]!expavg2($T$9:$T$26,I419,J419,$R$9:$R$26)</f>
        <v>ERROR: Please use BegPeriod &gt;= 1.</v>
      </c>
      <c r="H419" s="2">
        <f t="shared" si="34"/>
        <v>-1</v>
      </c>
      <c r="I419" s="24">
        <f t="shared" si="38"/>
        <v>-3</v>
      </c>
      <c r="J419" s="24">
        <f t="shared" si="39"/>
        <v>0</v>
      </c>
      <c r="K419" s="17">
        <f t="shared" si="35"/>
        <v>-2</v>
      </c>
      <c r="M419" s="15">
        <f t="shared" ca="1" si="36"/>
        <v>0</v>
      </c>
      <c r="N419" s="15">
        <f t="shared" ca="1" si="37"/>
        <v>0</v>
      </c>
      <c r="Z419" s="1"/>
    </row>
    <row r="420" spans="3:26" x14ac:dyDescent="0.2">
      <c r="C420" s="39"/>
      <c r="D420" s="39"/>
      <c r="E420" s="38">
        <f>[2]!expavg($T$9:$T$26,$R$9:$R$26,K420,H420)</f>
        <v>0.60472044954610527</v>
      </c>
      <c r="F420" s="38" t="str">
        <f>[2]!expavg2($T$9:$T$26,I420,J420,$R$9:$R$26)</f>
        <v>ERROR: Please use BegPeriod &gt;= 1.</v>
      </c>
      <c r="H420" s="2">
        <f t="shared" ref="H420:H431" si="40">J420-1</f>
        <v>-2</v>
      </c>
      <c r="I420" s="24">
        <f t="shared" si="38"/>
        <v>-3</v>
      </c>
      <c r="J420" s="24">
        <f t="shared" si="39"/>
        <v>-1</v>
      </c>
      <c r="K420" s="17">
        <f t="shared" ref="K420:K431" si="41">I420-J420+1</f>
        <v>-1</v>
      </c>
      <c r="M420" s="15">
        <f t="shared" ref="M420:M431" ca="1" si="42">OFFSET($P$27,-I420,0)</f>
        <v>0</v>
      </c>
      <c r="N420" s="15">
        <f t="shared" ref="N420:N431" ca="1" si="43">OFFSET($P$27,-J420,0)</f>
        <v>0</v>
      </c>
      <c r="Z420" s="1"/>
    </row>
    <row r="421" spans="3:26" x14ac:dyDescent="0.2">
      <c r="C421" s="39"/>
      <c r="D421" s="39"/>
      <c r="E421" s="38">
        <f>[2]!expavg($T$9:$T$26,$R$9:$R$26,K421,H421)</f>
        <v>0.70939186407915755</v>
      </c>
      <c r="F421" s="38" t="str">
        <f>[2]!expavg2($T$9:$T$26,I421,J421,$R$9:$R$26)</f>
        <v>ERROR: Please use BegPeriod &gt;= 1.</v>
      </c>
      <c r="H421" s="2">
        <f t="shared" si="40"/>
        <v>14</v>
      </c>
      <c r="I421" s="24">
        <f t="shared" si="38"/>
        <v>-4</v>
      </c>
      <c r="J421" s="24">
        <f t="shared" si="39"/>
        <v>15</v>
      </c>
      <c r="K421" s="17">
        <f t="shared" si="41"/>
        <v>-18</v>
      </c>
      <c r="M421" s="15">
        <f t="shared" ca="1" si="42"/>
        <v>0</v>
      </c>
      <c r="N421" s="15">
        <f t="shared" ca="1" si="43"/>
        <v>37287</v>
      </c>
      <c r="Z421" s="1"/>
    </row>
    <row r="422" spans="3:26" x14ac:dyDescent="0.2">
      <c r="C422" s="39"/>
      <c r="D422" s="39"/>
      <c r="E422" s="38">
        <f>[2]!expavg($T$9:$T$26,$R$9:$R$26,K422,H422)</f>
        <v>0.67177139323204882</v>
      </c>
      <c r="F422" s="38" t="str">
        <f>[2]!expavg2($T$9:$T$26,I422,J422,$R$9:$R$26)</f>
        <v>ERROR: Please use BegPeriod &gt;= 1.</v>
      </c>
      <c r="H422" s="2">
        <f t="shared" si="40"/>
        <v>13</v>
      </c>
      <c r="I422" s="24">
        <f t="shared" si="38"/>
        <v>-4</v>
      </c>
      <c r="J422" s="24">
        <f t="shared" si="39"/>
        <v>14</v>
      </c>
      <c r="K422" s="17">
        <f t="shared" si="41"/>
        <v>-17</v>
      </c>
      <c r="M422" s="15">
        <f t="shared" ca="1" si="42"/>
        <v>0</v>
      </c>
      <c r="N422" s="15">
        <f t="shared" ca="1" si="43"/>
        <v>37652</v>
      </c>
      <c r="Z422" s="1"/>
    </row>
    <row r="423" spans="3:26" x14ac:dyDescent="0.2">
      <c r="C423" s="39"/>
      <c r="D423" s="39"/>
      <c r="E423" s="38">
        <f>[2]!expavg($T$9:$T$26,$R$9:$R$26,K423,H423)</f>
        <v>0.66945167850810816</v>
      </c>
      <c r="F423" s="38" t="str">
        <f>[2]!expavg2($T$9:$T$26,I423,J423,$R$9:$R$26)</f>
        <v>ERROR: Please use BegPeriod &gt;= 1.</v>
      </c>
      <c r="H423" s="2">
        <f t="shared" si="40"/>
        <v>12</v>
      </c>
      <c r="I423" s="24">
        <f t="shared" si="38"/>
        <v>-4</v>
      </c>
      <c r="J423" s="24">
        <f t="shared" si="39"/>
        <v>13</v>
      </c>
      <c r="K423" s="17">
        <f t="shared" si="41"/>
        <v>-16</v>
      </c>
      <c r="M423" s="15">
        <f t="shared" ca="1" si="42"/>
        <v>0</v>
      </c>
      <c r="N423" s="15">
        <f t="shared" ca="1" si="43"/>
        <v>38017</v>
      </c>
      <c r="Z423" s="1"/>
    </row>
    <row r="424" spans="3:26" x14ac:dyDescent="0.2">
      <c r="C424" s="39"/>
      <c r="D424" s="39"/>
      <c r="E424" s="38">
        <f>[2]!expavg($T$9:$T$26,$R$9:$R$26,K424,H424)</f>
        <v>0.67904388723605558</v>
      </c>
      <c r="F424" s="38" t="str">
        <f>[2]!expavg2($T$9:$T$26,I424,J424,$R$9:$R$26)</f>
        <v>ERROR: Please use BegPeriod &gt;= 1.</v>
      </c>
      <c r="H424" s="2">
        <f t="shared" si="40"/>
        <v>11</v>
      </c>
      <c r="I424" s="24">
        <f t="shared" si="38"/>
        <v>-4</v>
      </c>
      <c r="J424" s="24">
        <f t="shared" si="39"/>
        <v>12</v>
      </c>
      <c r="K424" s="17">
        <f t="shared" si="41"/>
        <v>-15</v>
      </c>
      <c r="M424" s="15">
        <f t="shared" ca="1" si="42"/>
        <v>0</v>
      </c>
      <c r="N424" s="15">
        <f t="shared" ca="1" si="43"/>
        <v>38383</v>
      </c>
      <c r="Z424" s="1"/>
    </row>
    <row r="425" spans="3:26" x14ac:dyDescent="0.2">
      <c r="C425" s="39"/>
      <c r="D425" s="39"/>
      <c r="E425" s="38">
        <f>[2]!expavg($T$9:$T$26,$R$9:$R$26,K425,H425)</f>
        <v>0.68957279758642287</v>
      </c>
      <c r="F425" s="38" t="str">
        <f>[2]!expavg2($T$9:$T$26,I425,J425,$R$9:$R$26)</f>
        <v>ERROR: Please use BegPeriod &gt;= 1.</v>
      </c>
      <c r="H425" s="2">
        <f t="shared" si="40"/>
        <v>10</v>
      </c>
      <c r="I425" s="24">
        <f t="shared" si="38"/>
        <v>-4</v>
      </c>
      <c r="J425" s="24">
        <f t="shared" si="39"/>
        <v>11</v>
      </c>
      <c r="K425" s="17">
        <f t="shared" si="41"/>
        <v>-14</v>
      </c>
      <c r="M425" s="15">
        <f t="shared" ca="1" si="42"/>
        <v>0</v>
      </c>
      <c r="N425" s="15">
        <f t="shared" ca="1" si="43"/>
        <v>38748</v>
      </c>
      <c r="Z425" s="1"/>
    </row>
    <row r="426" spans="3:26" x14ac:dyDescent="0.2">
      <c r="C426" s="39"/>
      <c r="D426" s="39"/>
      <c r="E426" s="38">
        <f>[2]!expavg($T$9:$T$26,$R$9:$R$26,K426,H426)</f>
        <v>0.67160897630855276</v>
      </c>
      <c r="F426" s="38" t="str">
        <f>[2]!expavg2($T$9:$T$26,I426,J426,$R$9:$R$26)</f>
        <v>ERROR: Please use BegPeriod &gt;= 1.</v>
      </c>
      <c r="H426" s="2">
        <f t="shared" si="40"/>
        <v>9</v>
      </c>
      <c r="I426" s="24">
        <f t="shared" si="38"/>
        <v>-4</v>
      </c>
      <c r="J426" s="24">
        <f t="shared" si="39"/>
        <v>10</v>
      </c>
      <c r="K426" s="17">
        <f t="shared" si="41"/>
        <v>-13</v>
      </c>
      <c r="M426" s="15">
        <f t="shared" ca="1" si="42"/>
        <v>0</v>
      </c>
      <c r="N426" s="15">
        <f t="shared" ca="1" si="43"/>
        <v>39113</v>
      </c>
      <c r="Z426" s="1"/>
    </row>
    <row r="427" spans="3:26" x14ac:dyDescent="0.2">
      <c r="C427" s="39"/>
      <c r="D427" s="39"/>
      <c r="E427" s="38">
        <f>[2]!expavg($T$9:$T$26,$R$9:$R$26,K427,H427)</f>
        <v>0.66527157980250695</v>
      </c>
      <c r="F427" s="38" t="str">
        <f>[2]!expavg2($T$9:$T$26,I427,J427,$R$9:$R$26)</f>
        <v>ERROR: Please use BegPeriod &gt;= 1.</v>
      </c>
      <c r="H427" s="2">
        <f t="shared" si="40"/>
        <v>8</v>
      </c>
      <c r="I427" s="24">
        <f t="shared" si="38"/>
        <v>-4</v>
      </c>
      <c r="J427" s="24">
        <f t="shared" si="39"/>
        <v>9</v>
      </c>
      <c r="K427" s="17">
        <f t="shared" si="41"/>
        <v>-12</v>
      </c>
      <c r="M427" s="15">
        <f t="shared" ca="1" si="42"/>
        <v>0</v>
      </c>
      <c r="N427" s="15">
        <f t="shared" ca="1" si="43"/>
        <v>39478</v>
      </c>
      <c r="Z427" s="1"/>
    </row>
    <row r="428" spans="3:26" x14ac:dyDescent="0.2">
      <c r="C428" s="39"/>
      <c r="D428" s="39"/>
      <c r="E428" s="38">
        <f>[2]!expavg($T$9:$T$26,$R$9:$R$26,K428,H428)</f>
        <v>0.68450987024306864</v>
      </c>
      <c r="F428" s="38" t="str">
        <f>[2]!expavg2($T$9:$T$26,I428,J428,$R$9:$R$26)</f>
        <v>ERROR: Please use BegPeriod &gt;= 1.</v>
      </c>
      <c r="H428" s="2">
        <f t="shared" si="40"/>
        <v>7</v>
      </c>
      <c r="I428" s="24">
        <f t="shared" si="38"/>
        <v>-4</v>
      </c>
      <c r="J428" s="24">
        <f t="shared" si="39"/>
        <v>8</v>
      </c>
      <c r="K428" s="17">
        <f t="shared" si="41"/>
        <v>-11</v>
      </c>
      <c r="M428" s="15">
        <f t="shared" ca="1" si="42"/>
        <v>0</v>
      </c>
      <c r="N428" s="15">
        <f t="shared" ca="1" si="43"/>
        <v>39844</v>
      </c>
      <c r="Z428" s="1"/>
    </row>
    <row r="429" spans="3:26" x14ac:dyDescent="0.2">
      <c r="C429" s="39"/>
      <c r="D429" s="39"/>
      <c r="E429" s="38">
        <f>[2]!expavg($T$9:$T$26,$R$9:$R$26,K429,H429)</f>
        <v>0.67627397338659268</v>
      </c>
      <c r="F429" s="38" t="str">
        <f>[2]!expavg2($T$9:$T$26,I429,J429,$R$9:$R$26)</f>
        <v>ERROR: Please use BegPeriod &gt;= 1.</v>
      </c>
      <c r="H429" s="2">
        <f t="shared" si="40"/>
        <v>6</v>
      </c>
      <c r="I429" s="24">
        <f t="shared" si="38"/>
        <v>-4</v>
      </c>
      <c r="J429" s="24">
        <f t="shared" si="39"/>
        <v>7</v>
      </c>
      <c r="K429" s="17">
        <f t="shared" si="41"/>
        <v>-10</v>
      </c>
      <c r="M429" s="15">
        <f t="shared" ca="1" si="42"/>
        <v>0</v>
      </c>
      <c r="N429" s="15">
        <f t="shared" ca="1" si="43"/>
        <v>40209</v>
      </c>
      <c r="Z429" s="1"/>
    </row>
    <row r="430" spans="3:26" x14ac:dyDescent="0.2">
      <c r="C430" s="39"/>
      <c r="D430" s="39"/>
      <c r="E430" s="38">
        <f>[2]!expavg($T$9:$T$26,$R$9:$R$26,K430,H430)</f>
        <v>0.66006899259190965</v>
      </c>
      <c r="F430" s="38" t="str">
        <f>[2]!expavg2($T$9:$T$26,I430,J430,$R$9:$R$26)</f>
        <v>ERROR: Please use BegPeriod &gt;= 1.</v>
      </c>
      <c r="H430" s="2">
        <f t="shared" si="40"/>
        <v>5</v>
      </c>
      <c r="I430" s="24">
        <f t="shared" si="38"/>
        <v>-4</v>
      </c>
      <c r="J430" s="24">
        <f t="shared" si="39"/>
        <v>6</v>
      </c>
      <c r="K430" s="17">
        <f t="shared" si="41"/>
        <v>-9</v>
      </c>
      <c r="M430" s="15">
        <f t="shared" ca="1" si="42"/>
        <v>0</v>
      </c>
      <c r="N430" s="15">
        <f t="shared" ca="1" si="43"/>
        <v>40574</v>
      </c>
      <c r="Z430" s="1"/>
    </row>
    <row r="431" spans="3:26" x14ac:dyDescent="0.2">
      <c r="C431" s="39"/>
      <c r="D431" s="39"/>
      <c r="E431" s="38">
        <f>[2]!expavg($T$9:$T$26,$R$9:$R$26,K431,H431)</f>
        <v>0.64048216018789683</v>
      </c>
      <c r="F431" s="38" t="str">
        <f>[2]!expavg2($T$9:$T$26,I431,J431,$R$9:$R$26)</f>
        <v>ERROR: Please use BegPeriod &gt;= 1.</v>
      </c>
      <c r="H431" s="2">
        <f t="shared" si="40"/>
        <v>4</v>
      </c>
      <c r="I431" s="24">
        <f t="shared" si="38"/>
        <v>-4</v>
      </c>
      <c r="J431" s="24">
        <f t="shared" si="39"/>
        <v>5</v>
      </c>
      <c r="K431" s="17">
        <f t="shared" si="41"/>
        <v>-8</v>
      </c>
      <c r="M431" s="15">
        <f t="shared" ca="1" si="42"/>
        <v>0</v>
      </c>
      <c r="N431" s="15">
        <f t="shared" ca="1" si="43"/>
        <v>40939</v>
      </c>
      <c r="Z431" s="1"/>
    </row>
    <row r="432" spans="3:26" x14ac:dyDescent="0.2">
      <c r="C432" s="39"/>
      <c r="D432" s="39"/>
      <c r="E432" s="38">
        <f>[2]!expavg($T$9:$T$26,$R$9:$R$26,K432,H432)</f>
        <v>0.62815488340610859</v>
      </c>
      <c r="F432" s="38" t="str">
        <f>[2]!expavg2($T$9:$T$26,I432,J432,$R$9:$R$26)</f>
        <v>ERROR: Please use BegPeriod &gt;= 1.</v>
      </c>
      <c r="H432" s="2">
        <f t="shared" ref="H432:H495" si="44">J432-1</f>
        <v>3</v>
      </c>
      <c r="I432" s="24">
        <f t="shared" si="38"/>
        <v>-4</v>
      </c>
      <c r="J432" s="24">
        <f t="shared" si="39"/>
        <v>4</v>
      </c>
      <c r="K432" s="17">
        <f t="shared" ref="K432:K495" si="45">I432-J432+1</f>
        <v>-7</v>
      </c>
      <c r="M432" s="15">
        <f t="shared" ref="M432:M495" ca="1" si="46">OFFSET($P$27,-I432,0)</f>
        <v>0</v>
      </c>
      <c r="N432" s="15">
        <f t="shared" ref="N432:N495" ca="1" si="47">OFFSET($P$27,-J432,0)</f>
        <v>41305</v>
      </c>
      <c r="Z432" s="1"/>
    </row>
    <row r="433" spans="3:26" x14ac:dyDescent="0.2">
      <c r="C433" s="39"/>
      <c r="D433" s="39"/>
      <c r="E433" s="38">
        <f>[2]!expavg($T$9:$T$26,$R$9:$R$26,K433,H433)</f>
        <v>0.62040838094689943</v>
      </c>
      <c r="F433" s="38" t="str">
        <f>[2]!expavg2($T$9:$T$26,I433,J433,$R$9:$R$26)</f>
        <v>ERROR: Please use BegPeriod &gt;= 1.</v>
      </c>
      <c r="H433" s="2">
        <f t="shared" si="44"/>
        <v>2</v>
      </c>
      <c r="I433" s="24">
        <f t="shared" si="38"/>
        <v>-4</v>
      </c>
      <c r="J433" s="24">
        <f t="shared" si="39"/>
        <v>3</v>
      </c>
      <c r="K433" s="17">
        <f t="shared" si="45"/>
        <v>-6</v>
      </c>
      <c r="M433" s="15">
        <f t="shared" ca="1" si="46"/>
        <v>0</v>
      </c>
      <c r="N433" s="15">
        <f t="shared" ca="1" si="47"/>
        <v>41670</v>
      </c>
      <c r="Z433" s="1"/>
    </row>
    <row r="434" spans="3:26" x14ac:dyDescent="0.2">
      <c r="C434" s="39"/>
      <c r="D434" s="39"/>
      <c r="E434" s="38">
        <f>[2]!expavg($T$9:$T$26,$R$9:$R$26,K434,H434)</f>
        <v>0.60752408974439076</v>
      </c>
      <c r="F434" s="38" t="str">
        <f>[2]!expavg2($T$9:$T$26,I434,J434,$R$9:$R$26)</f>
        <v>ERROR: Please use BegPeriod &gt;= 1.</v>
      </c>
      <c r="H434" s="2">
        <f t="shared" si="44"/>
        <v>1</v>
      </c>
      <c r="I434" s="24">
        <f t="shared" si="38"/>
        <v>-4</v>
      </c>
      <c r="J434" s="24">
        <f t="shared" si="39"/>
        <v>2</v>
      </c>
      <c r="K434" s="17">
        <f t="shared" si="45"/>
        <v>-5</v>
      </c>
      <c r="M434" s="15">
        <f t="shared" ca="1" si="46"/>
        <v>0</v>
      </c>
      <c r="N434" s="15">
        <f t="shared" ca="1" si="47"/>
        <v>42035</v>
      </c>
      <c r="Z434" s="1"/>
    </row>
    <row r="435" spans="3:26" x14ac:dyDescent="0.2">
      <c r="C435" s="39"/>
      <c r="D435" s="39"/>
      <c r="E435" s="38">
        <f>[2]!expavg($T$9:$T$26,$R$9:$R$26,K435,H435)</f>
        <v>0.60472044954610527</v>
      </c>
      <c r="F435" s="38" t="str">
        <f>[2]!expavg2($T$9:$T$26,I435,J435,$R$9:$R$26)</f>
        <v>ERROR: Please use BegPeriod &gt;= 1.</v>
      </c>
      <c r="H435" s="2">
        <f t="shared" si="44"/>
        <v>0</v>
      </c>
      <c r="I435" s="24">
        <f t="shared" si="38"/>
        <v>-4</v>
      </c>
      <c r="J435" s="24">
        <f t="shared" si="39"/>
        <v>1</v>
      </c>
      <c r="K435" s="17">
        <f t="shared" si="45"/>
        <v>-4</v>
      </c>
      <c r="M435" s="15">
        <f t="shared" ca="1" si="46"/>
        <v>0</v>
      </c>
      <c r="N435" s="15">
        <f t="shared" ca="1" si="47"/>
        <v>42400</v>
      </c>
      <c r="Z435" s="1"/>
    </row>
    <row r="436" spans="3:26" x14ac:dyDescent="0.2">
      <c r="C436" s="39"/>
      <c r="D436" s="39"/>
      <c r="E436" s="38">
        <f>[2]!expavg($T$9:$T$26,$R$9:$R$26,K436,H436)</f>
        <v>0.60472044954610527</v>
      </c>
      <c r="F436" s="38" t="str">
        <f>[2]!expavg2($T$9:$T$26,I436,J436,$R$9:$R$26)</f>
        <v>ERROR: Please use BegPeriod &gt;= 1.</v>
      </c>
      <c r="H436" s="2">
        <f t="shared" si="44"/>
        <v>-1</v>
      </c>
      <c r="I436" s="24">
        <f t="shared" ref="I436:I499" si="48">I419-1</f>
        <v>-4</v>
      </c>
      <c r="J436" s="24">
        <f t="shared" ref="J436:J499" si="49">J419</f>
        <v>0</v>
      </c>
      <c r="K436" s="17">
        <f t="shared" si="45"/>
        <v>-3</v>
      </c>
      <c r="M436" s="15">
        <f t="shared" ca="1" si="46"/>
        <v>0</v>
      </c>
      <c r="N436" s="15">
        <f t="shared" ca="1" si="47"/>
        <v>0</v>
      </c>
      <c r="Z436" s="1"/>
    </row>
    <row r="437" spans="3:26" x14ac:dyDescent="0.2">
      <c r="C437" s="39"/>
      <c r="D437" s="39"/>
      <c r="E437" s="38">
        <f>[2]!expavg($T$9:$T$26,$R$9:$R$26,K437,H437)</f>
        <v>0.60472044954610527</v>
      </c>
      <c r="F437" s="38" t="str">
        <f>[2]!expavg2($T$9:$T$26,I437,J437,$R$9:$R$26)</f>
        <v>ERROR: Please use BegPeriod &gt;= 1.</v>
      </c>
      <c r="H437" s="2">
        <f t="shared" si="44"/>
        <v>-2</v>
      </c>
      <c r="I437" s="24">
        <f t="shared" si="48"/>
        <v>-4</v>
      </c>
      <c r="J437" s="24">
        <f t="shared" si="49"/>
        <v>-1</v>
      </c>
      <c r="K437" s="17">
        <f t="shared" si="45"/>
        <v>-2</v>
      </c>
      <c r="M437" s="15">
        <f t="shared" ca="1" si="46"/>
        <v>0</v>
      </c>
      <c r="N437" s="15">
        <f t="shared" ca="1" si="47"/>
        <v>0</v>
      </c>
      <c r="Z437" s="1"/>
    </row>
    <row r="438" spans="3:26" x14ac:dyDescent="0.2">
      <c r="C438" s="39"/>
      <c r="D438" s="39"/>
      <c r="E438" s="38">
        <f>[2]!expavg($T$9:$T$26,$R$9:$R$26,K438,H438)</f>
        <v>0.70939186407915755</v>
      </c>
      <c r="F438" s="38" t="str">
        <f>[2]!expavg2($T$9:$T$26,I438,J438,$R$9:$R$26)</f>
        <v>ERROR: Please use BegPeriod &gt;= 1.</v>
      </c>
      <c r="H438" s="2">
        <f t="shared" si="44"/>
        <v>14</v>
      </c>
      <c r="I438" s="24">
        <f t="shared" si="48"/>
        <v>-5</v>
      </c>
      <c r="J438" s="24">
        <f t="shared" si="49"/>
        <v>15</v>
      </c>
      <c r="K438" s="17">
        <f t="shared" si="45"/>
        <v>-19</v>
      </c>
      <c r="M438" s="15">
        <f t="shared" ca="1" si="46"/>
        <v>0</v>
      </c>
      <c r="N438" s="15">
        <f t="shared" ca="1" si="47"/>
        <v>37287</v>
      </c>
      <c r="Z438" s="1"/>
    </row>
    <row r="439" spans="3:26" x14ac:dyDescent="0.2">
      <c r="C439" s="39"/>
      <c r="D439" s="39"/>
      <c r="E439" s="38">
        <f>[2]!expavg($T$9:$T$26,$R$9:$R$26,K439,H439)</f>
        <v>0.67177139323204882</v>
      </c>
      <c r="F439" s="38" t="str">
        <f>[2]!expavg2($T$9:$T$26,I439,J439,$R$9:$R$26)</f>
        <v>ERROR: Please use BegPeriod &gt;= 1.</v>
      </c>
      <c r="H439" s="2">
        <f t="shared" si="44"/>
        <v>13</v>
      </c>
      <c r="I439" s="24">
        <f t="shared" si="48"/>
        <v>-5</v>
      </c>
      <c r="J439" s="24">
        <f t="shared" si="49"/>
        <v>14</v>
      </c>
      <c r="K439" s="17">
        <f t="shared" si="45"/>
        <v>-18</v>
      </c>
      <c r="M439" s="15">
        <f t="shared" ca="1" si="46"/>
        <v>0</v>
      </c>
      <c r="N439" s="15">
        <f t="shared" ca="1" si="47"/>
        <v>37652</v>
      </c>
      <c r="Z439" s="1"/>
    </row>
    <row r="440" spans="3:26" x14ac:dyDescent="0.2">
      <c r="C440" s="39"/>
      <c r="D440" s="39"/>
      <c r="E440" s="38">
        <f>[2]!expavg($T$9:$T$26,$R$9:$R$26,K440,H440)</f>
        <v>0.66945167850810816</v>
      </c>
      <c r="F440" s="38" t="str">
        <f>[2]!expavg2($T$9:$T$26,I440,J440,$R$9:$R$26)</f>
        <v>ERROR: Please use BegPeriod &gt;= 1.</v>
      </c>
      <c r="H440" s="2">
        <f t="shared" si="44"/>
        <v>12</v>
      </c>
      <c r="I440" s="24">
        <f t="shared" si="48"/>
        <v>-5</v>
      </c>
      <c r="J440" s="24">
        <f t="shared" si="49"/>
        <v>13</v>
      </c>
      <c r="K440" s="17">
        <f t="shared" si="45"/>
        <v>-17</v>
      </c>
      <c r="M440" s="15">
        <f t="shared" ca="1" si="46"/>
        <v>0</v>
      </c>
      <c r="N440" s="15">
        <f t="shared" ca="1" si="47"/>
        <v>38017</v>
      </c>
      <c r="Z440" s="1"/>
    </row>
    <row r="441" spans="3:26" x14ac:dyDescent="0.2">
      <c r="C441" s="39"/>
      <c r="D441" s="39"/>
      <c r="E441" s="38">
        <f>[2]!expavg($T$9:$T$26,$R$9:$R$26,K441,H441)</f>
        <v>0.67904388723605558</v>
      </c>
      <c r="F441" s="38" t="str">
        <f>[2]!expavg2($T$9:$T$26,I441,J441,$R$9:$R$26)</f>
        <v>ERROR: Please use BegPeriod &gt;= 1.</v>
      </c>
      <c r="H441" s="2">
        <f t="shared" si="44"/>
        <v>11</v>
      </c>
      <c r="I441" s="24">
        <f t="shared" si="48"/>
        <v>-5</v>
      </c>
      <c r="J441" s="24">
        <f t="shared" si="49"/>
        <v>12</v>
      </c>
      <c r="K441" s="17">
        <f t="shared" si="45"/>
        <v>-16</v>
      </c>
      <c r="M441" s="15">
        <f t="shared" ca="1" si="46"/>
        <v>0</v>
      </c>
      <c r="N441" s="15">
        <f t="shared" ca="1" si="47"/>
        <v>38383</v>
      </c>
      <c r="Z441" s="1"/>
    </row>
    <row r="442" spans="3:26" x14ac:dyDescent="0.2">
      <c r="C442" s="39"/>
      <c r="D442" s="39"/>
      <c r="E442" s="38">
        <f>[2]!expavg($T$9:$T$26,$R$9:$R$26,K442,H442)</f>
        <v>0.68957279758642287</v>
      </c>
      <c r="F442" s="38" t="str">
        <f>[2]!expavg2($T$9:$T$26,I442,J442,$R$9:$R$26)</f>
        <v>ERROR: Please use BegPeriod &gt;= 1.</v>
      </c>
      <c r="H442" s="2">
        <f t="shared" si="44"/>
        <v>10</v>
      </c>
      <c r="I442" s="24">
        <f t="shared" si="48"/>
        <v>-5</v>
      </c>
      <c r="J442" s="24">
        <f t="shared" si="49"/>
        <v>11</v>
      </c>
      <c r="K442" s="17">
        <f t="shared" si="45"/>
        <v>-15</v>
      </c>
      <c r="M442" s="15">
        <f t="shared" ca="1" si="46"/>
        <v>0</v>
      </c>
      <c r="N442" s="15">
        <f t="shared" ca="1" si="47"/>
        <v>38748</v>
      </c>
      <c r="Z442" s="1"/>
    </row>
    <row r="443" spans="3:26" x14ac:dyDescent="0.2">
      <c r="C443" s="39"/>
      <c r="D443" s="39"/>
      <c r="E443" s="38">
        <f>[2]!expavg($T$9:$T$26,$R$9:$R$26,K443,H443)</f>
        <v>0.67160897630855276</v>
      </c>
      <c r="F443" s="38" t="str">
        <f>[2]!expavg2($T$9:$T$26,I443,J443,$R$9:$R$26)</f>
        <v>ERROR: Please use BegPeriod &gt;= 1.</v>
      </c>
      <c r="H443" s="2">
        <f t="shared" si="44"/>
        <v>9</v>
      </c>
      <c r="I443" s="24">
        <f t="shared" si="48"/>
        <v>-5</v>
      </c>
      <c r="J443" s="24">
        <f t="shared" si="49"/>
        <v>10</v>
      </c>
      <c r="K443" s="17">
        <f t="shared" si="45"/>
        <v>-14</v>
      </c>
      <c r="M443" s="15">
        <f t="shared" ca="1" si="46"/>
        <v>0</v>
      </c>
      <c r="N443" s="15">
        <f t="shared" ca="1" si="47"/>
        <v>39113</v>
      </c>
      <c r="Z443" s="1"/>
    </row>
    <row r="444" spans="3:26" x14ac:dyDescent="0.2">
      <c r="C444" s="39"/>
      <c r="D444" s="39"/>
      <c r="E444" s="38">
        <f>[2]!expavg($T$9:$T$26,$R$9:$R$26,K444,H444)</f>
        <v>0.66527157980250695</v>
      </c>
      <c r="F444" s="38" t="str">
        <f>[2]!expavg2($T$9:$T$26,I444,J444,$R$9:$R$26)</f>
        <v>ERROR: Please use BegPeriod &gt;= 1.</v>
      </c>
      <c r="H444" s="2">
        <f t="shared" si="44"/>
        <v>8</v>
      </c>
      <c r="I444" s="24">
        <f t="shared" si="48"/>
        <v>-5</v>
      </c>
      <c r="J444" s="24">
        <f t="shared" si="49"/>
        <v>9</v>
      </c>
      <c r="K444" s="17">
        <f t="shared" si="45"/>
        <v>-13</v>
      </c>
      <c r="M444" s="15">
        <f t="shared" ca="1" si="46"/>
        <v>0</v>
      </c>
      <c r="N444" s="15">
        <f t="shared" ca="1" si="47"/>
        <v>39478</v>
      </c>
      <c r="Z444" s="1"/>
    </row>
    <row r="445" spans="3:26" x14ac:dyDescent="0.2">
      <c r="C445" s="39"/>
      <c r="D445" s="39"/>
      <c r="E445" s="38">
        <f>[2]!expavg($T$9:$T$26,$R$9:$R$26,K445,H445)</f>
        <v>0.68450987024306864</v>
      </c>
      <c r="F445" s="38" t="str">
        <f>[2]!expavg2($T$9:$T$26,I445,J445,$R$9:$R$26)</f>
        <v>ERROR: Please use BegPeriod &gt;= 1.</v>
      </c>
      <c r="H445" s="2">
        <f t="shared" si="44"/>
        <v>7</v>
      </c>
      <c r="I445" s="24">
        <f t="shared" si="48"/>
        <v>-5</v>
      </c>
      <c r="J445" s="24">
        <f t="shared" si="49"/>
        <v>8</v>
      </c>
      <c r="K445" s="17">
        <f t="shared" si="45"/>
        <v>-12</v>
      </c>
      <c r="M445" s="15">
        <f t="shared" ca="1" si="46"/>
        <v>0</v>
      </c>
      <c r="N445" s="15">
        <f t="shared" ca="1" si="47"/>
        <v>39844</v>
      </c>
      <c r="Z445" s="1"/>
    </row>
    <row r="446" spans="3:26" x14ac:dyDescent="0.2">
      <c r="C446" s="39"/>
      <c r="D446" s="39"/>
      <c r="E446" s="38">
        <f>[2]!expavg($T$9:$T$26,$R$9:$R$26,K446,H446)</f>
        <v>0.67627397338659268</v>
      </c>
      <c r="F446" s="38" t="str">
        <f>[2]!expavg2($T$9:$T$26,I446,J446,$R$9:$R$26)</f>
        <v>ERROR: Please use BegPeriod &gt;= 1.</v>
      </c>
      <c r="H446" s="2">
        <f t="shared" si="44"/>
        <v>6</v>
      </c>
      <c r="I446" s="24">
        <f t="shared" si="48"/>
        <v>-5</v>
      </c>
      <c r="J446" s="24">
        <f t="shared" si="49"/>
        <v>7</v>
      </c>
      <c r="K446" s="17">
        <f t="shared" si="45"/>
        <v>-11</v>
      </c>
      <c r="M446" s="15">
        <f t="shared" ca="1" si="46"/>
        <v>0</v>
      </c>
      <c r="N446" s="15">
        <f t="shared" ca="1" si="47"/>
        <v>40209</v>
      </c>
      <c r="Z446" s="1"/>
    </row>
    <row r="447" spans="3:26" x14ac:dyDescent="0.2">
      <c r="C447" s="39"/>
      <c r="D447" s="39"/>
      <c r="E447" s="38">
        <f>[2]!expavg($T$9:$T$26,$R$9:$R$26,K447,H447)</f>
        <v>0.66006899259190965</v>
      </c>
      <c r="F447" s="38" t="str">
        <f>[2]!expavg2($T$9:$T$26,I447,J447,$R$9:$R$26)</f>
        <v>ERROR: Please use BegPeriod &gt;= 1.</v>
      </c>
      <c r="H447" s="2">
        <f t="shared" si="44"/>
        <v>5</v>
      </c>
      <c r="I447" s="24">
        <f t="shared" si="48"/>
        <v>-5</v>
      </c>
      <c r="J447" s="24">
        <f t="shared" si="49"/>
        <v>6</v>
      </c>
      <c r="K447" s="17">
        <f t="shared" si="45"/>
        <v>-10</v>
      </c>
      <c r="M447" s="15">
        <f t="shared" ca="1" si="46"/>
        <v>0</v>
      </c>
      <c r="N447" s="15">
        <f t="shared" ca="1" si="47"/>
        <v>40574</v>
      </c>
      <c r="Z447" s="1"/>
    </row>
    <row r="448" spans="3:26" x14ac:dyDescent="0.2">
      <c r="C448" s="39"/>
      <c r="D448" s="39"/>
      <c r="E448" s="38">
        <f>[2]!expavg($T$9:$T$26,$R$9:$R$26,K448,H448)</f>
        <v>0.64048216018789683</v>
      </c>
      <c r="F448" s="38" t="str">
        <f>[2]!expavg2($T$9:$T$26,I448,J448,$R$9:$R$26)</f>
        <v>ERROR: Please use BegPeriod &gt;= 1.</v>
      </c>
      <c r="H448" s="2">
        <f t="shared" si="44"/>
        <v>4</v>
      </c>
      <c r="I448" s="24">
        <f t="shared" si="48"/>
        <v>-5</v>
      </c>
      <c r="J448" s="24">
        <f t="shared" si="49"/>
        <v>5</v>
      </c>
      <c r="K448" s="17">
        <f t="shared" si="45"/>
        <v>-9</v>
      </c>
      <c r="M448" s="15">
        <f t="shared" ca="1" si="46"/>
        <v>0</v>
      </c>
      <c r="N448" s="15">
        <f t="shared" ca="1" si="47"/>
        <v>40939</v>
      </c>
      <c r="Z448" s="1"/>
    </row>
    <row r="449" spans="3:26" x14ac:dyDescent="0.2">
      <c r="C449" s="39"/>
      <c r="D449" s="39"/>
      <c r="E449" s="38">
        <f>[2]!expavg($T$9:$T$26,$R$9:$R$26,K449,H449)</f>
        <v>0.62815488340610859</v>
      </c>
      <c r="F449" s="38" t="str">
        <f>[2]!expavg2($T$9:$T$26,I449,J449,$R$9:$R$26)</f>
        <v>ERROR: Please use BegPeriod &gt;= 1.</v>
      </c>
      <c r="H449" s="2">
        <f t="shared" si="44"/>
        <v>3</v>
      </c>
      <c r="I449" s="24">
        <f t="shared" si="48"/>
        <v>-5</v>
      </c>
      <c r="J449" s="24">
        <f t="shared" si="49"/>
        <v>4</v>
      </c>
      <c r="K449" s="17">
        <f t="shared" si="45"/>
        <v>-8</v>
      </c>
      <c r="M449" s="15">
        <f t="shared" ca="1" si="46"/>
        <v>0</v>
      </c>
      <c r="N449" s="15">
        <f t="shared" ca="1" si="47"/>
        <v>41305</v>
      </c>
      <c r="Z449" s="1"/>
    </row>
    <row r="450" spans="3:26" x14ac:dyDescent="0.2">
      <c r="C450" s="39"/>
      <c r="D450" s="39"/>
      <c r="E450" s="38">
        <f>[2]!expavg($T$9:$T$26,$R$9:$R$26,K450,H450)</f>
        <v>0.62040838094689943</v>
      </c>
      <c r="F450" s="38" t="str">
        <f>[2]!expavg2($T$9:$T$26,I450,J450,$R$9:$R$26)</f>
        <v>ERROR: Please use BegPeriod &gt;= 1.</v>
      </c>
      <c r="H450" s="2">
        <f t="shared" si="44"/>
        <v>2</v>
      </c>
      <c r="I450" s="24">
        <f t="shared" si="48"/>
        <v>-5</v>
      </c>
      <c r="J450" s="24">
        <f t="shared" si="49"/>
        <v>3</v>
      </c>
      <c r="K450" s="17">
        <f t="shared" si="45"/>
        <v>-7</v>
      </c>
      <c r="M450" s="15">
        <f t="shared" ca="1" si="46"/>
        <v>0</v>
      </c>
      <c r="N450" s="15">
        <f t="shared" ca="1" si="47"/>
        <v>41670</v>
      </c>
      <c r="Z450" s="1"/>
    </row>
    <row r="451" spans="3:26" x14ac:dyDescent="0.2">
      <c r="C451" s="39"/>
      <c r="D451" s="39"/>
      <c r="E451" s="38">
        <f>[2]!expavg($T$9:$T$26,$R$9:$R$26,K451,H451)</f>
        <v>0.60752408974439076</v>
      </c>
      <c r="F451" s="38" t="str">
        <f>[2]!expavg2($T$9:$T$26,I451,J451,$R$9:$R$26)</f>
        <v>ERROR: Please use BegPeriod &gt;= 1.</v>
      </c>
      <c r="H451" s="2">
        <f t="shared" si="44"/>
        <v>1</v>
      </c>
      <c r="I451" s="24">
        <f t="shared" si="48"/>
        <v>-5</v>
      </c>
      <c r="J451" s="24">
        <f t="shared" si="49"/>
        <v>2</v>
      </c>
      <c r="K451" s="17">
        <f t="shared" si="45"/>
        <v>-6</v>
      </c>
      <c r="M451" s="15">
        <f t="shared" ca="1" si="46"/>
        <v>0</v>
      </c>
      <c r="N451" s="15">
        <f t="shared" ca="1" si="47"/>
        <v>42035</v>
      </c>
      <c r="Z451" s="1"/>
    </row>
    <row r="452" spans="3:26" x14ac:dyDescent="0.2">
      <c r="C452" s="39"/>
      <c r="D452" s="39"/>
      <c r="E452" s="38">
        <f>[2]!expavg($T$9:$T$26,$R$9:$R$26,K452,H452)</f>
        <v>0.60472044954610527</v>
      </c>
      <c r="F452" s="38" t="str">
        <f>[2]!expavg2($T$9:$T$26,I452,J452,$R$9:$R$26)</f>
        <v>ERROR: Please use BegPeriod &gt;= 1.</v>
      </c>
      <c r="H452" s="2">
        <f t="shared" si="44"/>
        <v>0</v>
      </c>
      <c r="I452" s="24">
        <f t="shared" si="48"/>
        <v>-5</v>
      </c>
      <c r="J452" s="24">
        <f t="shared" si="49"/>
        <v>1</v>
      </c>
      <c r="K452" s="17">
        <f t="shared" si="45"/>
        <v>-5</v>
      </c>
      <c r="M452" s="15">
        <f t="shared" ca="1" si="46"/>
        <v>0</v>
      </c>
      <c r="N452" s="15">
        <f t="shared" ca="1" si="47"/>
        <v>42400</v>
      </c>
      <c r="Z452" s="1"/>
    </row>
    <row r="453" spans="3:26" x14ac:dyDescent="0.2">
      <c r="C453" s="39"/>
      <c r="D453" s="39"/>
      <c r="E453" s="38">
        <f>[2]!expavg($T$9:$T$26,$R$9:$R$26,K453,H453)</f>
        <v>0.60472044954610527</v>
      </c>
      <c r="F453" s="38" t="str">
        <f>[2]!expavg2($T$9:$T$26,I453,J453,$R$9:$R$26)</f>
        <v>ERROR: Please use BegPeriod &gt;= 1.</v>
      </c>
      <c r="H453" s="2">
        <f t="shared" si="44"/>
        <v>-1</v>
      </c>
      <c r="I453" s="24">
        <f t="shared" si="48"/>
        <v>-5</v>
      </c>
      <c r="J453" s="24">
        <f t="shared" si="49"/>
        <v>0</v>
      </c>
      <c r="K453" s="17">
        <f t="shared" si="45"/>
        <v>-4</v>
      </c>
      <c r="M453" s="15">
        <f t="shared" ca="1" si="46"/>
        <v>0</v>
      </c>
      <c r="N453" s="15">
        <f t="shared" ca="1" si="47"/>
        <v>0</v>
      </c>
      <c r="Z453" s="1"/>
    </row>
    <row r="454" spans="3:26" x14ac:dyDescent="0.2">
      <c r="C454" s="39"/>
      <c r="D454" s="39"/>
      <c r="E454" s="38">
        <f>[2]!expavg($T$9:$T$26,$R$9:$R$26,K454,H454)</f>
        <v>0.60472044954610527</v>
      </c>
      <c r="F454" s="38" t="str">
        <f>[2]!expavg2($T$9:$T$26,I454,J454,$R$9:$R$26)</f>
        <v>ERROR: Please use BegPeriod &gt;= 1.</v>
      </c>
      <c r="H454" s="2">
        <f t="shared" si="44"/>
        <v>-2</v>
      </c>
      <c r="I454" s="24">
        <f t="shared" si="48"/>
        <v>-5</v>
      </c>
      <c r="J454" s="24">
        <f t="shared" si="49"/>
        <v>-1</v>
      </c>
      <c r="K454" s="17">
        <f t="shared" si="45"/>
        <v>-3</v>
      </c>
      <c r="M454" s="15">
        <f t="shared" ca="1" si="46"/>
        <v>0</v>
      </c>
      <c r="N454" s="15">
        <f t="shared" ca="1" si="47"/>
        <v>0</v>
      </c>
      <c r="Z454" s="1"/>
    </row>
    <row r="455" spans="3:26" x14ac:dyDescent="0.2">
      <c r="C455" s="39"/>
      <c r="D455" s="39"/>
      <c r="E455" s="38">
        <f>[2]!expavg($T$9:$T$26,$R$9:$R$26,K455,H455)</f>
        <v>0.70939186407915755</v>
      </c>
      <c r="F455" s="38" t="str">
        <f>[2]!expavg2($T$9:$T$26,I455,J455,$R$9:$R$26)</f>
        <v>ERROR: Please use BegPeriod &gt;= 1.</v>
      </c>
      <c r="H455" s="2">
        <f t="shared" si="44"/>
        <v>14</v>
      </c>
      <c r="I455" s="24">
        <f t="shared" si="48"/>
        <v>-6</v>
      </c>
      <c r="J455" s="24">
        <f t="shared" si="49"/>
        <v>15</v>
      </c>
      <c r="K455" s="17">
        <f t="shared" si="45"/>
        <v>-20</v>
      </c>
      <c r="M455" s="15">
        <f t="shared" ca="1" si="46"/>
        <v>0</v>
      </c>
      <c r="N455" s="15">
        <f t="shared" ca="1" si="47"/>
        <v>37287</v>
      </c>
      <c r="Z455" s="1"/>
    </row>
    <row r="456" spans="3:26" x14ac:dyDescent="0.2">
      <c r="C456" s="39"/>
      <c r="D456" s="39"/>
      <c r="E456" s="38">
        <f>[2]!expavg($T$9:$T$26,$R$9:$R$26,K456,H456)</f>
        <v>0.67177139323204882</v>
      </c>
      <c r="F456" s="38" t="str">
        <f>[2]!expavg2($T$9:$T$26,I456,J456,$R$9:$R$26)</f>
        <v>ERROR: Please use BegPeriod &gt;= 1.</v>
      </c>
      <c r="H456" s="2">
        <f t="shared" si="44"/>
        <v>13</v>
      </c>
      <c r="I456" s="24">
        <f t="shared" si="48"/>
        <v>-6</v>
      </c>
      <c r="J456" s="24">
        <f t="shared" si="49"/>
        <v>14</v>
      </c>
      <c r="K456" s="17">
        <f t="shared" si="45"/>
        <v>-19</v>
      </c>
      <c r="M456" s="15">
        <f t="shared" ca="1" si="46"/>
        <v>0</v>
      </c>
      <c r="N456" s="15">
        <f t="shared" ca="1" si="47"/>
        <v>37652</v>
      </c>
      <c r="Z456" s="1"/>
    </row>
    <row r="457" spans="3:26" x14ac:dyDescent="0.2">
      <c r="C457" s="39"/>
      <c r="D457" s="39"/>
      <c r="E457" s="38">
        <f>[2]!expavg($T$9:$T$26,$R$9:$R$26,K457,H457)</f>
        <v>0.66945167850810816</v>
      </c>
      <c r="F457" s="38" t="str">
        <f>[2]!expavg2($T$9:$T$26,I457,J457,$R$9:$R$26)</f>
        <v>ERROR: Please use BegPeriod &gt;= 1.</v>
      </c>
      <c r="H457" s="2">
        <f t="shared" si="44"/>
        <v>12</v>
      </c>
      <c r="I457" s="24">
        <f t="shared" si="48"/>
        <v>-6</v>
      </c>
      <c r="J457" s="24">
        <f t="shared" si="49"/>
        <v>13</v>
      </c>
      <c r="K457" s="17">
        <f t="shared" si="45"/>
        <v>-18</v>
      </c>
      <c r="M457" s="15">
        <f t="shared" ca="1" si="46"/>
        <v>0</v>
      </c>
      <c r="N457" s="15">
        <f t="shared" ca="1" si="47"/>
        <v>38017</v>
      </c>
      <c r="Z457" s="1"/>
    </row>
    <row r="458" spans="3:26" x14ac:dyDescent="0.2">
      <c r="C458" s="39"/>
      <c r="D458" s="39"/>
      <c r="E458" s="38">
        <f>[2]!expavg($T$9:$T$26,$R$9:$R$26,K458,H458)</f>
        <v>0.67904388723605558</v>
      </c>
      <c r="F458" s="38" t="str">
        <f>[2]!expavg2($T$9:$T$26,I458,J458,$R$9:$R$26)</f>
        <v>ERROR: Please use BegPeriod &gt;= 1.</v>
      </c>
      <c r="H458" s="2">
        <f t="shared" si="44"/>
        <v>11</v>
      </c>
      <c r="I458" s="24">
        <f t="shared" si="48"/>
        <v>-6</v>
      </c>
      <c r="J458" s="24">
        <f t="shared" si="49"/>
        <v>12</v>
      </c>
      <c r="K458" s="17">
        <f t="shared" si="45"/>
        <v>-17</v>
      </c>
      <c r="M458" s="15">
        <f t="shared" ca="1" si="46"/>
        <v>0</v>
      </c>
      <c r="N458" s="15">
        <f t="shared" ca="1" si="47"/>
        <v>38383</v>
      </c>
      <c r="Z458" s="1"/>
    </row>
    <row r="459" spans="3:26" x14ac:dyDescent="0.2">
      <c r="C459" s="39"/>
      <c r="D459" s="39"/>
      <c r="E459" s="38">
        <f>[2]!expavg($T$9:$T$26,$R$9:$R$26,K459,H459)</f>
        <v>0.68957279758642287</v>
      </c>
      <c r="F459" s="38" t="str">
        <f>[2]!expavg2($T$9:$T$26,I459,J459,$R$9:$R$26)</f>
        <v>ERROR: Please use BegPeriod &gt;= 1.</v>
      </c>
      <c r="H459" s="2">
        <f t="shared" si="44"/>
        <v>10</v>
      </c>
      <c r="I459" s="24">
        <f t="shared" si="48"/>
        <v>-6</v>
      </c>
      <c r="J459" s="24">
        <f t="shared" si="49"/>
        <v>11</v>
      </c>
      <c r="K459" s="17">
        <f t="shared" si="45"/>
        <v>-16</v>
      </c>
      <c r="M459" s="15">
        <f t="shared" ca="1" si="46"/>
        <v>0</v>
      </c>
      <c r="N459" s="15">
        <f t="shared" ca="1" si="47"/>
        <v>38748</v>
      </c>
      <c r="Z459" s="1"/>
    </row>
    <row r="460" spans="3:26" x14ac:dyDescent="0.2">
      <c r="C460" s="39"/>
      <c r="D460" s="39"/>
      <c r="E460" s="38">
        <f>[2]!expavg($T$9:$T$26,$R$9:$R$26,K460,H460)</f>
        <v>0.67160897630855276</v>
      </c>
      <c r="F460" s="38" t="str">
        <f>[2]!expavg2($T$9:$T$26,I460,J460,$R$9:$R$26)</f>
        <v>ERROR: Please use BegPeriod &gt;= 1.</v>
      </c>
      <c r="H460" s="2">
        <f t="shared" si="44"/>
        <v>9</v>
      </c>
      <c r="I460" s="24">
        <f t="shared" si="48"/>
        <v>-6</v>
      </c>
      <c r="J460" s="24">
        <f t="shared" si="49"/>
        <v>10</v>
      </c>
      <c r="K460" s="17">
        <f t="shared" si="45"/>
        <v>-15</v>
      </c>
      <c r="M460" s="15">
        <f t="shared" ca="1" si="46"/>
        <v>0</v>
      </c>
      <c r="N460" s="15">
        <f t="shared" ca="1" si="47"/>
        <v>39113</v>
      </c>
      <c r="Z460" s="1"/>
    </row>
    <row r="461" spans="3:26" x14ac:dyDescent="0.2">
      <c r="C461" s="39"/>
      <c r="D461" s="39"/>
      <c r="E461" s="38">
        <f>[2]!expavg($T$9:$T$26,$R$9:$R$26,K461,H461)</f>
        <v>0.66527157980250695</v>
      </c>
      <c r="F461" s="38" t="str">
        <f>[2]!expavg2($T$9:$T$26,I461,J461,$R$9:$R$26)</f>
        <v>ERROR: Please use BegPeriod &gt;= 1.</v>
      </c>
      <c r="H461" s="2">
        <f t="shared" si="44"/>
        <v>8</v>
      </c>
      <c r="I461" s="24">
        <f t="shared" si="48"/>
        <v>-6</v>
      </c>
      <c r="J461" s="24">
        <f t="shared" si="49"/>
        <v>9</v>
      </c>
      <c r="K461" s="17">
        <f t="shared" si="45"/>
        <v>-14</v>
      </c>
      <c r="M461" s="15">
        <f t="shared" ca="1" si="46"/>
        <v>0</v>
      </c>
      <c r="N461" s="15">
        <f t="shared" ca="1" si="47"/>
        <v>39478</v>
      </c>
      <c r="Z461" s="1"/>
    </row>
    <row r="462" spans="3:26" x14ac:dyDescent="0.2">
      <c r="C462" s="39"/>
      <c r="D462" s="39"/>
      <c r="E462" s="38">
        <f>[2]!expavg($T$9:$T$26,$R$9:$R$26,K462,H462)</f>
        <v>0.68450987024306864</v>
      </c>
      <c r="F462" s="38" t="str">
        <f>[2]!expavg2($T$9:$T$26,I462,J462,$R$9:$R$26)</f>
        <v>ERROR: Please use BegPeriod &gt;= 1.</v>
      </c>
      <c r="H462" s="2">
        <f t="shared" si="44"/>
        <v>7</v>
      </c>
      <c r="I462" s="24">
        <f t="shared" si="48"/>
        <v>-6</v>
      </c>
      <c r="J462" s="24">
        <f t="shared" si="49"/>
        <v>8</v>
      </c>
      <c r="K462" s="17">
        <f t="shared" si="45"/>
        <v>-13</v>
      </c>
      <c r="M462" s="15">
        <f t="shared" ca="1" si="46"/>
        <v>0</v>
      </c>
      <c r="N462" s="15">
        <f t="shared" ca="1" si="47"/>
        <v>39844</v>
      </c>
      <c r="Z462" s="1"/>
    </row>
    <row r="463" spans="3:26" x14ac:dyDescent="0.2">
      <c r="C463" s="39"/>
      <c r="D463" s="39"/>
      <c r="E463" s="38">
        <f>[2]!expavg($T$9:$T$26,$R$9:$R$26,K463,H463)</f>
        <v>0.67627397338659268</v>
      </c>
      <c r="F463" s="38" t="str">
        <f>[2]!expavg2($T$9:$T$26,I463,J463,$R$9:$R$26)</f>
        <v>ERROR: Please use BegPeriod &gt;= 1.</v>
      </c>
      <c r="H463" s="2">
        <f t="shared" si="44"/>
        <v>6</v>
      </c>
      <c r="I463" s="24">
        <f t="shared" si="48"/>
        <v>-6</v>
      </c>
      <c r="J463" s="24">
        <f t="shared" si="49"/>
        <v>7</v>
      </c>
      <c r="K463" s="17">
        <f t="shared" si="45"/>
        <v>-12</v>
      </c>
      <c r="M463" s="15">
        <f t="shared" ca="1" si="46"/>
        <v>0</v>
      </c>
      <c r="N463" s="15">
        <f t="shared" ca="1" si="47"/>
        <v>40209</v>
      </c>
      <c r="Z463" s="1"/>
    </row>
    <row r="464" spans="3:26" x14ac:dyDescent="0.2">
      <c r="C464" s="39"/>
      <c r="D464" s="39"/>
      <c r="E464" s="38">
        <f>[2]!expavg($T$9:$T$26,$R$9:$R$26,K464,H464)</f>
        <v>0.66006899259190965</v>
      </c>
      <c r="F464" s="38" t="str">
        <f>[2]!expavg2($T$9:$T$26,I464,J464,$R$9:$R$26)</f>
        <v>ERROR: Please use BegPeriod &gt;= 1.</v>
      </c>
      <c r="H464" s="2">
        <f t="shared" si="44"/>
        <v>5</v>
      </c>
      <c r="I464" s="24">
        <f t="shared" si="48"/>
        <v>-6</v>
      </c>
      <c r="J464" s="24">
        <f t="shared" si="49"/>
        <v>6</v>
      </c>
      <c r="K464" s="17">
        <f t="shared" si="45"/>
        <v>-11</v>
      </c>
      <c r="M464" s="15">
        <f t="shared" ca="1" si="46"/>
        <v>0</v>
      </c>
      <c r="N464" s="15">
        <f t="shared" ca="1" si="47"/>
        <v>40574</v>
      </c>
      <c r="Z464" s="1"/>
    </row>
    <row r="465" spans="3:26" x14ac:dyDescent="0.2">
      <c r="C465" s="39"/>
      <c r="D465" s="39"/>
      <c r="E465" s="38">
        <f>[2]!expavg($T$9:$T$26,$R$9:$R$26,K465,H465)</f>
        <v>0.64048216018789683</v>
      </c>
      <c r="F465" s="38" t="str">
        <f>[2]!expavg2($T$9:$T$26,I465,J465,$R$9:$R$26)</f>
        <v>ERROR: Please use BegPeriod &gt;= 1.</v>
      </c>
      <c r="H465" s="2">
        <f t="shared" si="44"/>
        <v>4</v>
      </c>
      <c r="I465" s="24">
        <f t="shared" si="48"/>
        <v>-6</v>
      </c>
      <c r="J465" s="24">
        <f t="shared" si="49"/>
        <v>5</v>
      </c>
      <c r="K465" s="17">
        <f t="shared" si="45"/>
        <v>-10</v>
      </c>
      <c r="M465" s="15">
        <f t="shared" ca="1" si="46"/>
        <v>0</v>
      </c>
      <c r="N465" s="15">
        <f t="shared" ca="1" si="47"/>
        <v>40939</v>
      </c>
      <c r="Z465" s="1"/>
    </row>
    <row r="466" spans="3:26" x14ac:dyDescent="0.2">
      <c r="C466" s="39"/>
      <c r="D466" s="39"/>
      <c r="E466" s="38">
        <f>[2]!expavg($T$9:$T$26,$R$9:$R$26,K466,H466)</f>
        <v>0.62815488340610859</v>
      </c>
      <c r="F466" s="38" t="str">
        <f>[2]!expavg2($T$9:$T$26,I466,J466,$R$9:$R$26)</f>
        <v>ERROR: Please use BegPeriod &gt;= 1.</v>
      </c>
      <c r="H466" s="2">
        <f t="shared" si="44"/>
        <v>3</v>
      </c>
      <c r="I466" s="24">
        <f t="shared" si="48"/>
        <v>-6</v>
      </c>
      <c r="J466" s="24">
        <f t="shared" si="49"/>
        <v>4</v>
      </c>
      <c r="K466" s="17">
        <f t="shared" si="45"/>
        <v>-9</v>
      </c>
      <c r="M466" s="15">
        <f t="shared" ca="1" si="46"/>
        <v>0</v>
      </c>
      <c r="N466" s="15">
        <f t="shared" ca="1" si="47"/>
        <v>41305</v>
      </c>
      <c r="Z466" s="1"/>
    </row>
    <row r="467" spans="3:26" x14ac:dyDescent="0.2">
      <c r="C467" s="39"/>
      <c r="D467" s="39"/>
      <c r="E467" s="38">
        <f>[2]!expavg($T$9:$T$26,$R$9:$R$26,K467,H467)</f>
        <v>0.62040838094689943</v>
      </c>
      <c r="F467" s="38" t="str">
        <f>[2]!expavg2($T$9:$T$26,I467,J467,$R$9:$R$26)</f>
        <v>ERROR: Please use BegPeriod &gt;= 1.</v>
      </c>
      <c r="H467" s="2">
        <f t="shared" si="44"/>
        <v>2</v>
      </c>
      <c r="I467" s="24">
        <f t="shared" si="48"/>
        <v>-6</v>
      </c>
      <c r="J467" s="24">
        <f t="shared" si="49"/>
        <v>3</v>
      </c>
      <c r="K467" s="17">
        <f t="shared" si="45"/>
        <v>-8</v>
      </c>
      <c r="M467" s="15">
        <f t="shared" ca="1" si="46"/>
        <v>0</v>
      </c>
      <c r="N467" s="15">
        <f t="shared" ca="1" si="47"/>
        <v>41670</v>
      </c>
      <c r="Z467" s="1"/>
    </row>
    <row r="468" spans="3:26" x14ac:dyDescent="0.2">
      <c r="C468" s="39"/>
      <c r="D468" s="39"/>
      <c r="E468" s="38">
        <f>[2]!expavg($T$9:$T$26,$R$9:$R$26,K468,H468)</f>
        <v>0.60752408974439076</v>
      </c>
      <c r="F468" s="38" t="str">
        <f>[2]!expavg2($T$9:$T$26,I468,J468,$R$9:$R$26)</f>
        <v>ERROR: Please use BegPeriod &gt;= 1.</v>
      </c>
      <c r="H468" s="2">
        <f t="shared" si="44"/>
        <v>1</v>
      </c>
      <c r="I468" s="24">
        <f t="shared" si="48"/>
        <v>-6</v>
      </c>
      <c r="J468" s="24">
        <f t="shared" si="49"/>
        <v>2</v>
      </c>
      <c r="K468" s="17">
        <f t="shared" si="45"/>
        <v>-7</v>
      </c>
      <c r="M468" s="15">
        <f t="shared" ca="1" si="46"/>
        <v>0</v>
      </c>
      <c r="N468" s="15">
        <f t="shared" ca="1" si="47"/>
        <v>42035</v>
      </c>
      <c r="Z468" s="1"/>
    </row>
    <row r="469" spans="3:26" x14ac:dyDescent="0.2">
      <c r="C469" s="39"/>
      <c r="D469" s="39"/>
      <c r="E469" s="38">
        <f>[2]!expavg($T$9:$T$26,$R$9:$R$26,K469,H469)</f>
        <v>0.60472044954610527</v>
      </c>
      <c r="F469" s="38" t="str">
        <f>[2]!expavg2($T$9:$T$26,I469,J469,$R$9:$R$26)</f>
        <v>ERROR: Please use BegPeriod &gt;= 1.</v>
      </c>
      <c r="H469" s="2">
        <f t="shared" si="44"/>
        <v>0</v>
      </c>
      <c r="I469" s="24">
        <f t="shared" si="48"/>
        <v>-6</v>
      </c>
      <c r="J469" s="24">
        <f t="shared" si="49"/>
        <v>1</v>
      </c>
      <c r="K469" s="17">
        <f t="shared" si="45"/>
        <v>-6</v>
      </c>
      <c r="M469" s="15">
        <f t="shared" ca="1" si="46"/>
        <v>0</v>
      </c>
      <c r="N469" s="15">
        <f t="shared" ca="1" si="47"/>
        <v>42400</v>
      </c>
      <c r="Z469" s="1"/>
    </row>
    <row r="470" spans="3:26" x14ac:dyDescent="0.2">
      <c r="C470" s="39"/>
      <c r="D470" s="39"/>
      <c r="E470" s="38">
        <f>[2]!expavg($T$9:$T$26,$R$9:$R$26,K470,H470)</f>
        <v>0.60472044954610527</v>
      </c>
      <c r="F470" s="38" t="str">
        <f>[2]!expavg2($T$9:$T$26,I470,J470,$R$9:$R$26)</f>
        <v>ERROR: Please use BegPeriod &gt;= 1.</v>
      </c>
      <c r="H470" s="2">
        <f t="shared" si="44"/>
        <v>-1</v>
      </c>
      <c r="I470" s="24">
        <f t="shared" si="48"/>
        <v>-6</v>
      </c>
      <c r="J470" s="24">
        <f t="shared" si="49"/>
        <v>0</v>
      </c>
      <c r="K470" s="17">
        <f t="shared" si="45"/>
        <v>-5</v>
      </c>
      <c r="M470" s="15">
        <f t="shared" ca="1" si="46"/>
        <v>0</v>
      </c>
      <c r="N470" s="15">
        <f t="shared" ca="1" si="47"/>
        <v>0</v>
      </c>
      <c r="Z470" s="1"/>
    </row>
    <row r="471" spans="3:26" x14ac:dyDescent="0.2">
      <c r="C471" s="39"/>
      <c r="D471" s="39"/>
      <c r="E471" s="38">
        <f>[2]!expavg($T$9:$T$26,$R$9:$R$26,K471,H471)</f>
        <v>0.60472044954610527</v>
      </c>
      <c r="F471" s="38" t="str">
        <f>[2]!expavg2($T$9:$T$26,I471,J471,$R$9:$R$26)</f>
        <v>ERROR: Please use BegPeriod &gt;= 1.</v>
      </c>
      <c r="H471" s="2">
        <f t="shared" si="44"/>
        <v>-2</v>
      </c>
      <c r="I471" s="24">
        <f t="shared" si="48"/>
        <v>-6</v>
      </c>
      <c r="J471" s="24">
        <f t="shared" si="49"/>
        <v>-1</v>
      </c>
      <c r="K471" s="17">
        <f t="shared" si="45"/>
        <v>-4</v>
      </c>
      <c r="M471" s="15">
        <f t="shared" ca="1" si="46"/>
        <v>0</v>
      </c>
      <c r="N471" s="15">
        <f t="shared" ca="1" si="47"/>
        <v>0</v>
      </c>
      <c r="Z471" s="1"/>
    </row>
    <row r="472" spans="3:26" x14ac:dyDescent="0.2">
      <c r="C472" s="39"/>
      <c r="D472" s="39"/>
      <c r="E472" s="38">
        <f>[2]!expavg($T$9:$T$26,$R$9:$R$26,K472,H472)</f>
        <v>0.70939186407915755</v>
      </c>
      <c r="F472" s="38" t="str">
        <f>[2]!expavg2($T$9:$T$26,I472,J472,$R$9:$R$26)</f>
        <v>ERROR: Please use BegPeriod &gt;= 1.</v>
      </c>
      <c r="H472" s="2">
        <f t="shared" si="44"/>
        <v>14</v>
      </c>
      <c r="I472" s="24">
        <f t="shared" si="48"/>
        <v>-7</v>
      </c>
      <c r="J472" s="24">
        <f t="shared" si="49"/>
        <v>15</v>
      </c>
      <c r="K472" s="17">
        <f t="shared" si="45"/>
        <v>-21</v>
      </c>
      <c r="M472" s="15">
        <f t="shared" ca="1" si="46"/>
        <v>0</v>
      </c>
      <c r="N472" s="15">
        <f t="shared" ca="1" si="47"/>
        <v>37287</v>
      </c>
      <c r="Z472" s="1"/>
    </row>
    <row r="473" spans="3:26" x14ac:dyDescent="0.2">
      <c r="C473" s="39"/>
      <c r="D473" s="39"/>
      <c r="E473" s="38">
        <f>[2]!expavg($T$9:$T$26,$R$9:$R$26,K473,H473)</f>
        <v>0.67177139323204882</v>
      </c>
      <c r="F473" s="38" t="str">
        <f>[2]!expavg2($T$9:$T$26,I473,J473,$R$9:$R$26)</f>
        <v>ERROR: Please use BegPeriod &gt;= 1.</v>
      </c>
      <c r="H473" s="2">
        <f t="shared" si="44"/>
        <v>13</v>
      </c>
      <c r="I473" s="24">
        <f t="shared" si="48"/>
        <v>-7</v>
      </c>
      <c r="J473" s="24">
        <f t="shared" si="49"/>
        <v>14</v>
      </c>
      <c r="K473" s="17">
        <f t="shared" si="45"/>
        <v>-20</v>
      </c>
      <c r="M473" s="15">
        <f t="shared" ca="1" si="46"/>
        <v>0</v>
      </c>
      <c r="N473" s="15">
        <f t="shared" ca="1" si="47"/>
        <v>37652</v>
      </c>
      <c r="Z473" s="1"/>
    </row>
    <row r="474" spans="3:26" x14ac:dyDescent="0.2">
      <c r="C474" s="39"/>
      <c r="D474" s="39"/>
      <c r="E474" s="38">
        <f>[2]!expavg($T$9:$T$26,$R$9:$R$26,K474,H474)</f>
        <v>0.66945167850810816</v>
      </c>
      <c r="F474" s="38" t="str">
        <f>[2]!expavg2($T$9:$T$26,I474,J474,$R$9:$R$26)</f>
        <v>ERROR: Please use BegPeriod &gt;= 1.</v>
      </c>
      <c r="H474" s="2">
        <f t="shared" si="44"/>
        <v>12</v>
      </c>
      <c r="I474" s="24">
        <f t="shared" si="48"/>
        <v>-7</v>
      </c>
      <c r="J474" s="24">
        <f t="shared" si="49"/>
        <v>13</v>
      </c>
      <c r="K474" s="17">
        <f t="shared" si="45"/>
        <v>-19</v>
      </c>
      <c r="M474" s="15">
        <f t="shared" ca="1" si="46"/>
        <v>0</v>
      </c>
      <c r="N474" s="15">
        <f t="shared" ca="1" si="47"/>
        <v>38017</v>
      </c>
      <c r="Z474" s="1"/>
    </row>
    <row r="475" spans="3:26" x14ac:dyDescent="0.2">
      <c r="C475" s="39"/>
      <c r="D475" s="39"/>
      <c r="E475" s="38">
        <f>[2]!expavg($T$9:$T$26,$R$9:$R$26,K475,H475)</f>
        <v>0.67904388723605558</v>
      </c>
      <c r="F475" s="38" t="str">
        <f>[2]!expavg2($T$9:$T$26,I475,J475,$R$9:$R$26)</f>
        <v>ERROR: Please use BegPeriod &gt;= 1.</v>
      </c>
      <c r="H475" s="2">
        <f t="shared" si="44"/>
        <v>11</v>
      </c>
      <c r="I475" s="24">
        <f t="shared" si="48"/>
        <v>-7</v>
      </c>
      <c r="J475" s="24">
        <f t="shared" si="49"/>
        <v>12</v>
      </c>
      <c r="K475" s="17">
        <f t="shared" si="45"/>
        <v>-18</v>
      </c>
      <c r="M475" s="15">
        <f t="shared" ca="1" si="46"/>
        <v>0</v>
      </c>
      <c r="N475" s="15">
        <f t="shared" ca="1" si="47"/>
        <v>38383</v>
      </c>
      <c r="Z475" s="1"/>
    </row>
    <row r="476" spans="3:26" x14ac:dyDescent="0.2">
      <c r="C476" s="39"/>
      <c r="D476" s="39"/>
      <c r="E476" s="38">
        <f>[2]!expavg($T$9:$T$26,$R$9:$R$26,K476,H476)</f>
        <v>0.68957279758642287</v>
      </c>
      <c r="F476" s="38" t="str">
        <f>[2]!expavg2($T$9:$T$26,I476,J476,$R$9:$R$26)</f>
        <v>ERROR: Please use BegPeriod &gt;= 1.</v>
      </c>
      <c r="H476" s="2">
        <f t="shared" si="44"/>
        <v>10</v>
      </c>
      <c r="I476" s="24">
        <f t="shared" si="48"/>
        <v>-7</v>
      </c>
      <c r="J476" s="24">
        <f t="shared" si="49"/>
        <v>11</v>
      </c>
      <c r="K476" s="17">
        <f t="shared" si="45"/>
        <v>-17</v>
      </c>
      <c r="M476" s="15">
        <f t="shared" ca="1" si="46"/>
        <v>0</v>
      </c>
      <c r="N476" s="15">
        <f t="shared" ca="1" si="47"/>
        <v>38748</v>
      </c>
      <c r="Z476" s="1"/>
    </row>
    <row r="477" spans="3:26" x14ac:dyDescent="0.2">
      <c r="C477" s="39"/>
      <c r="D477" s="39"/>
      <c r="E477" s="38">
        <f>[2]!expavg($T$9:$T$26,$R$9:$R$26,K477,H477)</f>
        <v>0.67160897630855276</v>
      </c>
      <c r="F477" s="38" t="str">
        <f>[2]!expavg2($T$9:$T$26,I477,J477,$R$9:$R$26)</f>
        <v>ERROR: Please use BegPeriod &gt;= 1.</v>
      </c>
      <c r="H477" s="2">
        <f t="shared" si="44"/>
        <v>9</v>
      </c>
      <c r="I477" s="24">
        <f t="shared" si="48"/>
        <v>-7</v>
      </c>
      <c r="J477" s="24">
        <f t="shared" si="49"/>
        <v>10</v>
      </c>
      <c r="K477" s="17">
        <f t="shared" si="45"/>
        <v>-16</v>
      </c>
      <c r="M477" s="15">
        <f t="shared" ca="1" si="46"/>
        <v>0</v>
      </c>
      <c r="N477" s="15">
        <f t="shared" ca="1" si="47"/>
        <v>39113</v>
      </c>
      <c r="Z477" s="1"/>
    </row>
    <row r="478" spans="3:26" x14ac:dyDescent="0.2">
      <c r="C478" s="39"/>
      <c r="D478" s="39"/>
      <c r="E478" s="38">
        <f>[2]!expavg($T$9:$T$26,$R$9:$R$26,K478,H478)</f>
        <v>0.66527157980250695</v>
      </c>
      <c r="F478" s="38" t="str">
        <f>[2]!expavg2($T$9:$T$26,I478,J478,$R$9:$R$26)</f>
        <v>ERROR: Please use BegPeriod &gt;= 1.</v>
      </c>
      <c r="H478" s="2">
        <f t="shared" si="44"/>
        <v>8</v>
      </c>
      <c r="I478" s="24">
        <f t="shared" si="48"/>
        <v>-7</v>
      </c>
      <c r="J478" s="24">
        <f t="shared" si="49"/>
        <v>9</v>
      </c>
      <c r="K478" s="17">
        <f t="shared" si="45"/>
        <v>-15</v>
      </c>
      <c r="M478" s="15">
        <f t="shared" ca="1" si="46"/>
        <v>0</v>
      </c>
      <c r="N478" s="15">
        <f t="shared" ca="1" si="47"/>
        <v>39478</v>
      </c>
      <c r="Z478" s="1"/>
    </row>
    <row r="479" spans="3:26" x14ac:dyDescent="0.2">
      <c r="C479" s="39"/>
      <c r="D479" s="39"/>
      <c r="E479" s="38">
        <f>[2]!expavg($T$9:$T$26,$R$9:$R$26,K479,H479)</f>
        <v>0.68450987024306864</v>
      </c>
      <c r="F479" s="38" t="str">
        <f>[2]!expavg2($T$9:$T$26,I479,J479,$R$9:$R$26)</f>
        <v>ERROR: Please use BegPeriod &gt;= 1.</v>
      </c>
      <c r="H479" s="2">
        <f t="shared" si="44"/>
        <v>7</v>
      </c>
      <c r="I479" s="24">
        <f t="shared" si="48"/>
        <v>-7</v>
      </c>
      <c r="J479" s="24">
        <f t="shared" si="49"/>
        <v>8</v>
      </c>
      <c r="K479" s="17">
        <f t="shared" si="45"/>
        <v>-14</v>
      </c>
      <c r="M479" s="15">
        <f t="shared" ca="1" si="46"/>
        <v>0</v>
      </c>
      <c r="N479" s="15">
        <f t="shared" ca="1" si="47"/>
        <v>39844</v>
      </c>
      <c r="Z479" s="1"/>
    </row>
    <row r="480" spans="3:26" x14ac:dyDescent="0.2">
      <c r="C480" s="39"/>
      <c r="D480" s="39"/>
      <c r="E480" s="38">
        <f>[2]!expavg($T$9:$T$26,$R$9:$R$26,K480,H480)</f>
        <v>0.67627397338659268</v>
      </c>
      <c r="F480" s="38" t="str">
        <f>[2]!expavg2($T$9:$T$26,I480,J480,$R$9:$R$26)</f>
        <v>ERROR: Please use BegPeriod &gt;= 1.</v>
      </c>
      <c r="H480" s="2">
        <f t="shared" si="44"/>
        <v>6</v>
      </c>
      <c r="I480" s="24">
        <f t="shared" si="48"/>
        <v>-7</v>
      </c>
      <c r="J480" s="24">
        <f t="shared" si="49"/>
        <v>7</v>
      </c>
      <c r="K480" s="17">
        <f t="shared" si="45"/>
        <v>-13</v>
      </c>
      <c r="M480" s="15">
        <f t="shared" ca="1" si="46"/>
        <v>0</v>
      </c>
      <c r="N480" s="15">
        <f t="shared" ca="1" si="47"/>
        <v>40209</v>
      </c>
      <c r="Z480" s="1"/>
    </row>
    <row r="481" spans="3:26" x14ac:dyDescent="0.2">
      <c r="C481" s="39"/>
      <c r="D481" s="39"/>
      <c r="E481" s="38">
        <f>[2]!expavg($T$9:$T$26,$R$9:$R$26,K481,H481)</f>
        <v>0.66006899259190965</v>
      </c>
      <c r="F481" s="38" t="str">
        <f>[2]!expavg2($T$9:$T$26,I481,J481,$R$9:$R$26)</f>
        <v>ERROR: Please use BegPeriod &gt;= 1.</v>
      </c>
      <c r="H481" s="2">
        <f t="shared" si="44"/>
        <v>5</v>
      </c>
      <c r="I481" s="24">
        <f t="shared" si="48"/>
        <v>-7</v>
      </c>
      <c r="J481" s="24">
        <f t="shared" si="49"/>
        <v>6</v>
      </c>
      <c r="K481" s="17">
        <f t="shared" si="45"/>
        <v>-12</v>
      </c>
      <c r="M481" s="15">
        <f t="shared" ca="1" si="46"/>
        <v>0</v>
      </c>
      <c r="N481" s="15">
        <f t="shared" ca="1" si="47"/>
        <v>40574</v>
      </c>
      <c r="Z481" s="1"/>
    </row>
    <row r="482" spans="3:26" x14ac:dyDescent="0.2">
      <c r="C482" s="39"/>
      <c r="D482" s="39"/>
      <c r="E482" s="38">
        <f>[2]!expavg($T$9:$T$26,$R$9:$R$26,K482,H482)</f>
        <v>0.64048216018789683</v>
      </c>
      <c r="F482" s="38" t="str">
        <f>[2]!expavg2($T$9:$T$26,I482,J482,$R$9:$R$26)</f>
        <v>ERROR: Please use BegPeriod &gt;= 1.</v>
      </c>
      <c r="H482" s="2">
        <f t="shared" si="44"/>
        <v>4</v>
      </c>
      <c r="I482" s="24">
        <f t="shared" si="48"/>
        <v>-7</v>
      </c>
      <c r="J482" s="24">
        <f t="shared" si="49"/>
        <v>5</v>
      </c>
      <c r="K482" s="17">
        <f t="shared" si="45"/>
        <v>-11</v>
      </c>
      <c r="M482" s="15">
        <f t="shared" ca="1" si="46"/>
        <v>0</v>
      </c>
      <c r="N482" s="15">
        <f t="shared" ca="1" si="47"/>
        <v>40939</v>
      </c>
      <c r="Z482" s="1"/>
    </row>
    <row r="483" spans="3:26" x14ac:dyDescent="0.2">
      <c r="C483" s="39"/>
      <c r="D483" s="39"/>
      <c r="E483" s="38">
        <f>[2]!expavg($T$9:$T$26,$R$9:$R$26,K483,H483)</f>
        <v>0.62815488340610859</v>
      </c>
      <c r="F483" s="38" t="str">
        <f>[2]!expavg2($T$9:$T$26,I483,J483,$R$9:$R$26)</f>
        <v>ERROR: Please use BegPeriod &gt;= 1.</v>
      </c>
      <c r="H483" s="2">
        <f t="shared" si="44"/>
        <v>3</v>
      </c>
      <c r="I483" s="24">
        <f t="shared" si="48"/>
        <v>-7</v>
      </c>
      <c r="J483" s="24">
        <f t="shared" si="49"/>
        <v>4</v>
      </c>
      <c r="K483" s="17">
        <f t="shared" si="45"/>
        <v>-10</v>
      </c>
      <c r="M483" s="15">
        <f t="shared" ca="1" si="46"/>
        <v>0</v>
      </c>
      <c r="N483" s="15">
        <f t="shared" ca="1" si="47"/>
        <v>41305</v>
      </c>
      <c r="Z483" s="1"/>
    </row>
    <row r="484" spans="3:26" x14ac:dyDescent="0.2">
      <c r="C484" s="39"/>
      <c r="D484" s="39"/>
      <c r="E484" s="38">
        <f>[2]!expavg($T$9:$T$26,$R$9:$R$26,K484,H484)</f>
        <v>0.62040838094689943</v>
      </c>
      <c r="F484" s="38" t="str">
        <f>[2]!expavg2($T$9:$T$26,I484,J484,$R$9:$R$26)</f>
        <v>ERROR: Please use BegPeriod &gt;= 1.</v>
      </c>
      <c r="H484" s="2">
        <f t="shared" si="44"/>
        <v>2</v>
      </c>
      <c r="I484" s="24">
        <f t="shared" si="48"/>
        <v>-7</v>
      </c>
      <c r="J484" s="24">
        <f t="shared" si="49"/>
        <v>3</v>
      </c>
      <c r="K484" s="17">
        <f t="shared" si="45"/>
        <v>-9</v>
      </c>
      <c r="M484" s="15">
        <f t="shared" ca="1" si="46"/>
        <v>0</v>
      </c>
      <c r="N484" s="15">
        <f t="shared" ca="1" si="47"/>
        <v>41670</v>
      </c>
      <c r="Z484" s="1"/>
    </row>
    <row r="485" spans="3:26" x14ac:dyDescent="0.2">
      <c r="C485" s="39"/>
      <c r="D485" s="39"/>
      <c r="E485" s="38">
        <f>[2]!expavg($T$9:$T$26,$R$9:$R$26,K485,H485)</f>
        <v>0.60752408974439076</v>
      </c>
      <c r="F485" s="38" t="str">
        <f>[2]!expavg2($T$9:$T$26,I485,J485,$R$9:$R$26)</f>
        <v>ERROR: Please use BegPeriod &gt;= 1.</v>
      </c>
      <c r="H485" s="2">
        <f t="shared" si="44"/>
        <v>1</v>
      </c>
      <c r="I485" s="24">
        <f t="shared" si="48"/>
        <v>-7</v>
      </c>
      <c r="J485" s="24">
        <f t="shared" si="49"/>
        <v>2</v>
      </c>
      <c r="K485" s="17">
        <f t="shared" si="45"/>
        <v>-8</v>
      </c>
      <c r="M485" s="15">
        <f t="shared" ca="1" si="46"/>
        <v>0</v>
      </c>
      <c r="N485" s="15">
        <f t="shared" ca="1" si="47"/>
        <v>42035</v>
      </c>
      <c r="Z485" s="1"/>
    </row>
    <row r="486" spans="3:26" x14ac:dyDescent="0.2">
      <c r="C486" s="39"/>
      <c r="D486" s="39"/>
      <c r="E486" s="38">
        <f>[2]!expavg($T$9:$T$26,$R$9:$R$26,K486,H486)</f>
        <v>0.60472044954610527</v>
      </c>
      <c r="F486" s="38" t="str">
        <f>[2]!expavg2($T$9:$T$26,I486,J486,$R$9:$R$26)</f>
        <v>ERROR: Please use BegPeriod &gt;= 1.</v>
      </c>
      <c r="H486" s="2">
        <f t="shared" si="44"/>
        <v>0</v>
      </c>
      <c r="I486" s="24">
        <f t="shared" si="48"/>
        <v>-7</v>
      </c>
      <c r="J486" s="24">
        <f t="shared" si="49"/>
        <v>1</v>
      </c>
      <c r="K486" s="17">
        <f t="shared" si="45"/>
        <v>-7</v>
      </c>
      <c r="M486" s="15">
        <f t="shared" ca="1" si="46"/>
        <v>0</v>
      </c>
      <c r="N486" s="15">
        <f t="shared" ca="1" si="47"/>
        <v>42400</v>
      </c>
      <c r="Z486" s="1"/>
    </row>
    <row r="487" spans="3:26" x14ac:dyDescent="0.2">
      <c r="C487" s="39"/>
      <c r="D487" s="39"/>
      <c r="E487" s="38">
        <f>[2]!expavg($T$9:$T$26,$R$9:$R$26,K487,H487)</f>
        <v>0.60472044954610527</v>
      </c>
      <c r="F487" s="38" t="str">
        <f>[2]!expavg2($T$9:$T$26,I487,J487,$R$9:$R$26)</f>
        <v>ERROR: Please use BegPeriod &gt;= 1.</v>
      </c>
      <c r="H487" s="2">
        <f t="shared" si="44"/>
        <v>-1</v>
      </c>
      <c r="I487" s="24">
        <f t="shared" si="48"/>
        <v>-7</v>
      </c>
      <c r="J487" s="24">
        <f t="shared" si="49"/>
        <v>0</v>
      </c>
      <c r="K487" s="17">
        <f t="shared" si="45"/>
        <v>-6</v>
      </c>
      <c r="M487" s="15">
        <f t="shared" ca="1" si="46"/>
        <v>0</v>
      </c>
      <c r="N487" s="15">
        <f t="shared" ca="1" si="47"/>
        <v>0</v>
      </c>
      <c r="Z487" s="1"/>
    </row>
    <row r="488" spans="3:26" x14ac:dyDescent="0.2">
      <c r="C488" s="39"/>
      <c r="D488" s="39"/>
      <c r="E488" s="38">
        <f>[2]!expavg($T$9:$T$26,$R$9:$R$26,K488,H488)</f>
        <v>0.60472044954610527</v>
      </c>
      <c r="F488" s="38" t="str">
        <f>[2]!expavg2($T$9:$T$26,I488,J488,$R$9:$R$26)</f>
        <v>ERROR: Please use BegPeriod &gt;= 1.</v>
      </c>
      <c r="H488" s="2">
        <f t="shared" si="44"/>
        <v>-2</v>
      </c>
      <c r="I488" s="24">
        <f t="shared" si="48"/>
        <v>-7</v>
      </c>
      <c r="J488" s="24">
        <f t="shared" si="49"/>
        <v>-1</v>
      </c>
      <c r="K488" s="17">
        <f t="shared" si="45"/>
        <v>-5</v>
      </c>
      <c r="M488" s="15">
        <f t="shared" ca="1" si="46"/>
        <v>0</v>
      </c>
      <c r="N488" s="15">
        <f t="shared" ca="1" si="47"/>
        <v>0</v>
      </c>
      <c r="Z488" s="1"/>
    </row>
    <row r="489" spans="3:26" x14ac:dyDescent="0.2">
      <c r="C489" s="39"/>
      <c r="D489" s="39"/>
      <c r="E489" s="38">
        <f>[2]!expavg($T$9:$T$26,$R$9:$R$26,K489,H489)</f>
        <v>0.70939186407915755</v>
      </c>
      <c r="F489" s="38" t="str">
        <f>[2]!expavg2($T$9:$T$26,I489,J489,$R$9:$R$26)</f>
        <v>ERROR: Please use BegPeriod &gt;= 1.</v>
      </c>
      <c r="H489" s="2">
        <f t="shared" si="44"/>
        <v>14</v>
      </c>
      <c r="I489" s="24">
        <f t="shared" si="48"/>
        <v>-8</v>
      </c>
      <c r="J489" s="24">
        <f t="shared" si="49"/>
        <v>15</v>
      </c>
      <c r="K489" s="17">
        <f t="shared" si="45"/>
        <v>-22</v>
      </c>
      <c r="M489" s="15">
        <f t="shared" ca="1" si="46"/>
        <v>0</v>
      </c>
      <c r="N489" s="15">
        <f t="shared" ca="1" si="47"/>
        <v>37287</v>
      </c>
      <c r="Z489" s="1"/>
    </row>
    <row r="490" spans="3:26" x14ac:dyDescent="0.2">
      <c r="C490" s="39"/>
      <c r="D490" s="39"/>
      <c r="E490" s="38">
        <f>[2]!expavg($T$9:$T$26,$R$9:$R$26,K490,H490)</f>
        <v>0.67177139323204882</v>
      </c>
      <c r="F490" s="38" t="str">
        <f>[2]!expavg2($T$9:$T$26,I490,J490,$R$9:$R$26)</f>
        <v>ERROR: Please use BegPeriod &gt;= 1.</v>
      </c>
      <c r="H490" s="2">
        <f t="shared" si="44"/>
        <v>13</v>
      </c>
      <c r="I490" s="24">
        <f t="shared" si="48"/>
        <v>-8</v>
      </c>
      <c r="J490" s="24">
        <f t="shared" si="49"/>
        <v>14</v>
      </c>
      <c r="K490" s="17">
        <f t="shared" si="45"/>
        <v>-21</v>
      </c>
      <c r="M490" s="15">
        <f t="shared" ca="1" si="46"/>
        <v>0</v>
      </c>
      <c r="N490" s="15">
        <f t="shared" ca="1" si="47"/>
        <v>37652</v>
      </c>
      <c r="Z490" s="1"/>
    </row>
    <row r="491" spans="3:26" x14ac:dyDescent="0.2">
      <c r="C491" s="39"/>
      <c r="D491" s="39"/>
      <c r="E491" s="38">
        <f>[2]!expavg($T$9:$T$26,$R$9:$R$26,K491,H491)</f>
        <v>0.66945167850810816</v>
      </c>
      <c r="F491" s="38" t="str">
        <f>[2]!expavg2($T$9:$T$26,I491,J491,$R$9:$R$26)</f>
        <v>ERROR: Please use BegPeriod &gt;= 1.</v>
      </c>
      <c r="H491" s="2">
        <f t="shared" si="44"/>
        <v>12</v>
      </c>
      <c r="I491" s="24">
        <f t="shared" si="48"/>
        <v>-8</v>
      </c>
      <c r="J491" s="24">
        <f t="shared" si="49"/>
        <v>13</v>
      </c>
      <c r="K491" s="17">
        <f t="shared" si="45"/>
        <v>-20</v>
      </c>
      <c r="M491" s="15">
        <f t="shared" ca="1" si="46"/>
        <v>0</v>
      </c>
      <c r="N491" s="15">
        <f t="shared" ca="1" si="47"/>
        <v>38017</v>
      </c>
      <c r="Z491" s="1"/>
    </row>
    <row r="492" spans="3:26" x14ac:dyDescent="0.2">
      <c r="C492" s="39"/>
      <c r="D492" s="39"/>
      <c r="E492" s="38">
        <f>[2]!expavg($T$9:$T$26,$R$9:$R$26,K492,H492)</f>
        <v>0.67904388723605558</v>
      </c>
      <c r="F492" s="38" t="str">
        <f>[2]!expavg2($T$9:$T$26,I492,J492,$R$9:$R$26)</f>
        <v>ERROR: Please use BegPeriod &gt;= 1.</v>
      </c>
      <c r="H492" s="2">
        <f t="shared" si="44"/>
        <v>11</v>
      </c>
      <c r="I492" s="24">
        <f t="shared" si="48"/>
        <v>-8</v>
      </c>
      <c r="J492" s="24">
        <f t="shared" si="49"/>
        <v>12</v>
      </c>
      <c r="K492" s="17">
        <f t="shared" si="45"/>
        <v>-19</v>
      </c>
      <c r="M492" s="15">
        <f t="shared" ca="1" si="46"/>
        <v>0</v>
      </c>
      <c r="N492" s="15">
        <f t="shared" ca="1" si="47"/>
        <v>38383</v>
      </c>
      <c r="Z492" s="1"/>
    </row>
    <row r="493" spans="3:26" x14ac:dyDescent="0.2">
      <c r="C493" s="39"/>
      <c r="D493" s="39"/>
      <c r="E493" s="38">
        <f>[2]!expavg($T$9:$T$26,$R$9:$R$26,K493,H493)</f>
        <v>0.68957279758642287</v>
      </c>
      <c r="F493" s="38" t="str">
        <f>[2]!expavg2($T$9:$T$26,I493,J493,$R$9:$R$26)</f>
        <v>ERROR: Please use BegPeriod &gt;= 1.</v>
      </c>
      <c r="H493" s="2">
        <f t="shared" si="44"/>
        <v>10</v>
      </c>
      <c r="I493" s="24">
        <f t="shared" si="48"/>
        <v>-8</v>
      </c>
      <c r="J493" s="24">
        <f t="shared" si="49"/>
        <v>11</v>
      </c>
      <c r="K493" s="17">
        <f t="shared" si="45"/>
        <v>-18</v>
      </c>
      <c r="M493" s="15">
        <f t="shared" ca="1" si="46"/>
        <v>0</v>
      </c>
      <c r="N493" s="15">
        <f t="shared" ca="1" si="47"/>
        <v>38748</v>
      </c>
      <c r="Z493" s="1"/>
    </row>
    <row r="494" spans="3:26" x14ac:dyDescent="0.2">
      <c r="C494" s="39"/>
      <c r="D494" s="39"/>
      <c r="E494" s="38">
        <f>[2]!expavg($T$9:$T$26,$R$9:$R$26,K494,H494)</f>
        <v>0.67160897630855276</v>
      </c>
      <c r="F494" s="38" t="str">
        <f>[2]!expavg2($T$9:$T$26,I494,J494,$R$9:$R$26)</f>
        <v>ERROR: Please use BegPeriod &gt;= 1.</v>
      </c>
      <c r="H494" s="2">
        <f t="shared" si="44"/>
        <v>9</v>
      </c>
      <c r="I494" s="24">
        <f t="shared" si="48"/>
        <v>-8</v>
      </c>
      <c r="J494" s="24">
        <f t="shared" si="49"/>
        <v>10</v>
      </c>
      <c r="K494" s="17">
        <f t="shared" si="45"/>
        <v>-17</v>
      </c>
      <c r="M494" s="15">
        <f t="shared" ca="1" si="46"/>
        <v>0</v>
      </c>
      <c r="N494" s="15">
        <f t="shared" ca="1" si="47"/>
        <v>39113</v>
      </c>
      <c r="Z494" s="1"/>
    </row>
    <row r="495" spans="3:26" x14ac:dyDescent="0.2">
      <c r="C495" s="39"/>
      <c r="D495" s="39"/>
      <c r="E495" s="38">
        <f>[2]!expavg($T$9:$T$26,$R$9:$R$26,K495,H495)</f>
        <v>0.66527157980250695</v>
      </c>
      <c r="F495" s="38" t="str">
        <f>[2]!expavg2($T$9:$T$26,I495,J495,$R$9:$R$26)</f>
        <v>ERROR: Please use BegPeriod &gt;= 1.</v>
      </c>
      <c r="H495" s="2">
        <f t="shared" si="44"/>
        <v>8</v>
      </c>
      <c r="I495" s="24">
        <f t="shared" si="48"/>
        <v>-8</v>
      </c>
      <c r="J495" s="24">
        <f t="shared" si="49"/>
        <v>9</v>
      </c>
      <c r="K495" s="17">
        <f t="shared" si="45"/>
        <v>-16</v>
      </c>
      <c r="M495" s="15">
        <f t="shared" ca="1" si="46"/>
        <v>0</v>
      </c>
      <c r="N495" s="15">
        <f t="shared" ca="1" si="47"/>
        <v>39478</v>
      </c>
      <c r="Z495" s="1"/>
    </row>
    <row r="496" spans="3:26" x14ac:dyDescent="0.2">
      <c r="C496" s="39"/>
      <c r="D496" s="39"/>
      <c r="E496" s="38">
        <f>[2]!expavg($T$9:$T$26,$R$9:$R$26,K496,H496)</f>
        <v>0.68450987024306864</v>
      </c>
      <c r="F496" s="38" t="str">
        <f>[2]!expavg2($T$9:$T$26,I496,J496,$R$9:$R$26)</f>
        <v>ERROR: Please use BegPeriod &gt;= 1.</v>
      </c>
      <c r="H496" s="2">
        <f t="shared" ref="H496:H559" si="50">J496-1</f>
        <v>7</v>
      </c>
      <c r="I496" s="24">
        <f t="shared" si="48"/>
        <v>-8</v>
      </c>
      <c r="J496" s="24">
        <f t="shared" si="49"/>
        <v>8</v>
      </c>
      <c r="K496" s="17">
        <f t="shared" ref="K496:K559" si="51">I496-J496+1</f>
        <v>-15</v>
      </c>
      <c r="M496" s="15">
        <f t="shared" ref="M496:M559" ca="1" si="52">OFFSET($P$27,-I496,0)</f>
        <v>0</v>
      </c>
      <c r="N496" s="15">
        <f t="shared" ref="N496:N559" ca="1" si="53">OFFSET($P$27,-J496,0)</f>
        <v>39844</v>
      </c>
      <c r="Z496" s="1"/>
    </row>
    <row r="497" spans="3:26" x14ac:dyDescent="0.2">
      <c r="C497" s="39"/>
      <c r="D497" s="39"/>
      <c r="E497" s="38">
        <f>[2]!expavg($T$9:$T$26,$R$9:$R$26,K497,H497)</f>
        <v>0.67627397338659268</v>
      </c>
      <c r="F497" s="38" t="str">
        <f>[2]!expavg2($T$9:$T$26,I497,J497,$R$9:$R$26)</f>
        <v>ERROR: Please use BegPeriod &gt;= 1.</v>
      </c>
      <c r="H497" s="2">
        <f t="shared" si="50"/>
        <v>6</v>
      </c>
      <c r="I497" s="24">
        <f t="shared" si="48"/>
        <v>-8</v>
      </c>
      <c r="J497" s="24">
        <f t="shared" si="49"/>
        <v>7</v>
      </c>
      <c r="K497" s="17">
        <f t="shared" si="51"/>
        <v>-14</v>
      </c>
      <c r="M497" s="15">
        <f t="shared" ca="1" si="52"/>
        <v>0</v>
      </c>
      <c r="N497" s="15">
        <f t="shared" ca="1" si="53"/>
        <v>40209</v>
      </c>
      <c r="Z497" s="1"/>
    </row>
    <row r="498" spans="3:26" x14ac:dyDescent="0.2">
      <c r="C498" s="39"/>
      <c r="D498" s="39"/>
      <c r="E498" s="38">
        <f>[2]!expavg($T$9:$T$26,$R$9:$R$26,K498,H498)</f>
        <v>0.66006899259190965</v>
      </c>
      <c r="F498" s="38" t="str">
        <f>[2]!expavg2($T$9:$T$26,I498,J498,$R$9:$R$26)</f>
        <v>ERROR: Please use BegPeriod &gt;= 1.</v>
      </c>
      <c r="H498" s="2">
        <f t="shared" si="50"/>
        <v>5</v>
      </c>
      <c r="I498" s="24">
        <f t="shared" si="48"/>
        <v>-8</v>
      </c>
      <c r="J498" s="24">
        <f t="shared" si="49"/>
        <v>6</v>
      </c>
      <c r="K498" s="17">
        <f t="shared" si="51"/>
        <v>-13</v>
      </c>
      <c r="M498" s="15">
        <f t="shared" ca="1" si="52"/>
        <v>0</v>
      </c>
      <c r="N498" s="15">
        <f t="shared" ca="1" si="53"/>
        <v>40574</v>
      </c>
      <c r="Z498" s="1"/>
    </row>
    <row r="499" spans="3:26" x14ac:dyDescent="0.2">
      <c r="C499" s="39"/>
      <c r="D499" s="39"/>
      <c r="E499" s="38">
        <f>[2]!expavg($T$9:$T$26,$R$9:$R$26,K499,H499)</f>
        <v>0.64048216018789683</v>
      </c>
      <c r="F499" s="38" t="str">
        <f>[2]!expavg2($T$9:$T$26,I499,J499,$R$9:$R$26)</f>
        <v>ERROR: Please use BegPeriod &gt;= 1.</v>
      </c>
      <c r="H499" s="2">
        <f t="shared" si="50"/>
        <v>4</v>
      </c>
      <c r="I499" s="24">
        <f t="shared" si="48"/>
        <v>-8</v>
      </c>
      <c r="J499" s="24">
        <f t="shared" si="49"/>
        <v>5</v>
      </c>
      <c r="K499" s="17">
        <f t="shared" si="51"/>
        <v>-12</v>
      </c>
      <c r="M499" s="15">
        <f t="shared" ca="1" si="52"/>
        <v>0</v>
      </c>
      <c r="N499" s="15">
        <f t="shared" ca="1" si="53"/>
        <v>40939</v>
      </c>
      <c r="Z499" s="1"/>
    </row>
    <row r="500" spans="3:26" x14ac:dyDescent="0.2">
      <c r="C500" s="39"/>
      <c r="D500" s="39"/>
      <c r="E500" s="38">
        <f>[2]!expavg($T$9:$T$26,$R$9:$R$26,K500,H500)</f>
        <v>0.62815488340610859</v>
      </c>
      <c r="F500" s="38" t="str">
        <f>[2]!expavg2($T$9:$T$26,I500,J500,$R$9:$R$26)</f>
        <v>ERROR: Please use BegPeriod &gt;= 1.</v>
      </c>
      <c r="H500" s="2">
        <f t="shared" si="50"/>
        <v>3</v>
      </c>
      <c r="I500" s="24">
        <f t="shared" ref="I500:I563" si="54">I483-1</f>
        <v>-8</v>
      </c>
      <c r="J500" s="24">
        <f t="shared" ref="J500:J563" si="55">J483</f>
        <v>4</v>
      </c>
      <c r="K500" s="17">
        <f t="shared" si="51"/>
        <v>-11</v>
      </c>
      <c r="M500" s="15">
        <f t="shared" ca="1" si="52"/>
        <v>0</v>
      </c>
      <c r="N500" s="15">
        <f t="shared" ca="1" si="53"/>
        <v>41305</v>
      </c>
      <c r="Z500" s="1"/>
    </row>
    <row r="501" spans="3:26" x14ac:dyDescent="0.2">
      <c r="C501" s="39"/>
      <c r="D501" s="39"/>
      <c r="E501" s="38">
        <f>[2]!expavg($T$9:$T$26,$R$9:$R$26,K501,H501)</f>
        <v>0.62040838094689943</v>
      </c>
      <c r="F501" s="38" t="str">
        <f>[2]!expavg2($T$9:$T$26,I501,J501,$R$9:$R$26)</f>
        <v>ERROR: Please use BegPeriod &gt;= 1.</v>
      </c>
      <c r="H501" s="2">
        <f t="shared" si="50"/>
        <v>2</v>
      </c>
      <c r="I501" s="24">
        <f t="shared" si="54"/>
        <v>-8</v>
      </c>
      <c r="J501" s="24">
        <f t="shared" si="55"/>
        <v>3</v>
      </c>
      <c r="K501" s="17">
        <f t="shared" si="51"/>
        <v>-10</v>
      </c>
      <c r="M501" s="15">
        <f t="shared" ca="1" si="52"/>
        <v>0</v>
      </c>
      <c r="N501" s="15">
        <f t="shared" ca="1" si="53"/>
        <v>41670</v>
      </c>
      <c r="Z501" s="1"/>
    </row>
    <row r="502" spans="3:26" x14ac:dyDescent="0.2">
      <c r="C502" s="39"/>
      <c r="D502" s="39"/>
      <c r="E502" s="38">
        <f>[2]!expavg($T$9:$T$26,$R$9:$R$26,K502,H502)</f>
        <v>0.60752408974439076</v>
      </c>
      <c r="F502" s="38" t="str">
        <f>[2]!expavg2($T$9:$T$26,I502,J502,$R$9:$R$26)</f>
        <v>ERROR: Please use BegPeriod &gt;= 1.</v>
      </c>
      <c r="H502" s="2">
        <f t="shared" si="50"/>
        <v>1</v>
      </c>
      <c r="I502" s="24">
        <f t="shared" si="54"/>
        <v>-8</v>
      </c>
      <c r="J502" s="24">
        <f t="shared" si="55"/>
        <v>2</v>
      </c>
      <c r="K502" s="17">
        <f t="shared" si="51"/>
        <v>-9</v>
      </c>
      <c r="M502" s="15">
        <f t="shared" ca="1" si="52"/>
        <v>0</v>
      </c>
      <c r="N502" s="15">
        <f t="shared" ca="1" si="53"/>
        <v>42035</v>
      </c>
      <c r="Z502" s="1"/>
    </row>
    <row r="503" spans="3:26" x14ac:dyDescent="0.2">
      <c r="C503" s="39"/>
      <c r="D503" s="39"/>
      <c r="E503" s="38">
        <f>[2]!expavg($T$9:$T$26,$R$9:$R$26,K503,H503)</f>
        <v>0.60472044954610527</v>
      </c>
      <c r="F503" s="38" t="str">
        <f>[2]!expavg2($T$9:$T$26,I503,J503,$R$9:$R$26)</f>
        <v>ERROR: Please use BegPeriod &gt;= 1.</v>
      </c>
      <c r="H503" s="2">
        <f t="shared" si="50"/>
        <v>0</v>
      </c>
      <c r="I503" s="24">
        <f t="shared" si="54"/>
        <v>-8</v>
      </c>
      <c r="J503" s="24">
        <f t="shared" si="55"/>
        <v>1</v>
      </c>
      <c r="K503" s="17">
        <f t="shared" si="51"/>
        <v>-8</v>
      </c>
      <c r="M503" s="15">
        <f t="shared" ca="1" si="52"/>
        <v>0</v>
      </c>
      <c r="N503" s="15">
        <f t="shared" ca="1" si="53"/>
        <v>42400</v>
      </c>
      <c r="Z503" s="1"/>
    </row>
    <row r="504" spans="3:26" x14ac:dyDescent="0.2">
      <c r="C504" s="39"/>
      <c r="D504" s="39"/>
      <c r="E504" s="38">
        <f>[2]!expavg($T$9:$T$26,$R$9:$R$26,K504,H504)</f>
        <v>0.60472044954610527</v>
      </c>
      <c r="F504" s="38" t="str">
        <f>[2]!expavg2($T$9:$T$26,I504,J504,$R$9:$R$26)</f>
        <v>ERROR: Please use BegPeriod &gt;= 1.</v>
      </c>
      <c r="H504" s="2">
        <f t="shared" si="50"/>
        <v>-1</v>
      </c>
      <c r="I504" s="24">
        <f t="shared" si="54"/>
        <v>-8</v>
      </c>
      <c r="J504" s="24">
        <f t="shared" si="55"/>
        <v>0</v>
      </c>
      <c r="K504" s="17">
        <f t="shared" si="51"/>
        <v>-7</v>
      </c>
      <c r="M504" s="15">
        <f t="shared" ca="1" si="52"/>
        <v>0</v>
      </c>
      <c r="N504" s="15">
        <f t="shared" ca="1" si="53"/>
        <v>0</v>
      </c>
      <c r="Z504" s="1"/>
    </row>
    <row r="505" spans="3:26" x14ac:dyDescent="0.2">
      <c r="C505" s="39"/>
      <c r="D505" s="39"/>
      <c r="E505" s="38">
        <f>[2]!expavg($T$9:$T$26,$R$9:$R$26,K505,H505)</f>
        <v>0.60472044954610527</v>
      </c>
      <c r="F505" s="38" t="str">
        <f>[2]!expavg2($T$9:$T$26,I505,J505,$R$9:$R$26)</f>
        <v>ERROR: Please use BegPeriod &gt;= 1.</v>
      </c>
      <c r="H505" s="2">
        <f t="shared" si="50"/>
        <v>-2</v>
      </c>
      <c r="I505" s="24">
        <f t="shared" si="54"/>
        <v>-8</v>
      </c>
      <c r="J505" s="24">
        <f t="shared" si="55"/>
        <v>-1</v>
      </c>
      <c r="K505" s="17">
        <f t="shared" si="51"/>
        <v>-6</v>
      </c>
      <c r="M505" s="15">
        <f t="shared" ca="1" si="52"/>
        <v>0</v>
      </c>
      <c r="N505" s="15">
        <f t="shared" ca="1" si="53"/>
        <v>0</v>
      </c>
      <c r="Z505" s="1"/>
    </row>
    <row r="506" spans="3:26" x14ac:dyDescent="0.2">
      <c r="C506" s="39"/>
      <c r="D506" s="39"/>
      <c r="E506" s="38">
        <f>[2]!expavg($T$9:$T$26,$R$9:$R$26,K506,H506)</f>
        <v>0.70939186407915755</v>
      </c>
      <c r="F506" s="38" t="str">
        <f>[2]!expavg2($T$9:$T$26,I506,J506,$R$9:$R$26)</f>
        <v>ERROR: Please use BegPeriod &gt;= 1.</v>
      </c>
      <c r="H506" s="2">
        <f t="shared" si="50"/>
        <v>14</v>
      </c>
      <c r="I506" s="24">
        <f t="shared" si="54"/>
        <v>-9</v>
      </c>
      <c r="J506" s="24">
        <f t="shared" si="55"/>
        <v>15</v>
      </c>
      <c r="K506" s="17">
        <f t="shared" si="51"/>
        <v>-23</v>
      </c>
      <c r="M506" s="15">
        <f t="shared" ca="1" si="52"/>
        <v>0</v>
      </c>
      <c r="N506" s="15">
        <f t="shared" ca="1" si="53"/>
        <v>37287</v>
      </c>
      <c r="Z506" s="1"/>
    </row>
    <row r="507" spans="3:26" x14ac:dyDescent="0.2">
      <c r="C507" s="39"/>
      <c r="D507" s="39"/>
      <c r="E507" s="38">
        <f>[2]!expavg($T$9:$T$26,$R$9:$R$26,K507,H507)</f>
        <v>0.67177139323204882</v>
      </c>
      <c r="F507" s="38" t="str">
        <f>[2]!expavg2($T$9:$T$26,I507,J507,$R$9:$R$26)</f>
        <v>ERROR: Please use BegPeriod &gt;= 1.</v>
      </c>
      <c r="H507" s="2">
        <f t="shared" si="50"/>
        <v>13</v>
      </c>
      <c r="I507" s="24">
        <f t="shared" si="54"/>
        <v>-9</v>
      </c>
      <c r="J507" s="24">
        <f t="shared" si="55"/>
        <v>14</v>
      </c>
      <c r="K507" s="17">
        <f t="shared" si="51"/>
        <v>-22</v>
      </c>
      <c r="M507" s="15">
        <f t="shared" ca="1" si="52"/>
        <v>0</v>
      </c>
      <c r="N507" s="15">
        <f t="shared" ca="1" si="53"/>
        <v>37652</v>
      </c>
      <c r="Z507" s="1"/>
    </row>
    <row r="508" spans="3:26" x14ac:dyDescent="0.2">
      <c r="C508" s="39"/>
      <c r="D508" s="39"/>
      <c r="E508" s="38">
        <f>[2]!expavg($T$9:$T$26,$R$9:$R$26,K508,H508)</f>
        <v>0.66945167850810816</v>
      </c>
      <c r="F508" s="38" t="str">
        <f>[2]!expavg2($T$9:$T$26,I508,J508,$R$9:$R$26)</f>
        <v>ERROR: Please use BegPeriod &gt;= 1.</v>
      </c>
      <c r="H508" s="2">
        <f t="shared" si="50"/>
        <v>12</v>
      </c>
      <c r="I508" s="24">
        <f t="shared" si="54"/>
        <v>-9</v>
      </c>
      <c r="J508" s="24">
        <f t="shared" si="55"/>
        <v>13</v>
      </c>
      <c r="K508" s="17">
        <f t="shared" si="51"/>
        <v>-21</v>
      </c>
      <c r="M508" s="15">
        <f t="shared" ca="1" si="52"/>
        <v>0</v>
      </c>
      <c r="N508" s="15">
        <f t="shared" ca="1" si="53"/>
        <v>38017</v>
      </c>
      <c r="Z508" s="1"/>
    </row>
    <row r="509" spans="3:26" x14ac:dyDescent="0.2">
      <c r="C509" s="39"/>
      <c r="D509" s="39"/>
      <c r="E509" s="38">
        <f>[2]!expavg($T$9:$T$26,$R$9:$R$26,K509,H509)</f>
        <v>0.67904388723605558</v>
      </c>
      <c r="F509" s="38" t="str">
        <f>[2]!expavg2($T$9:$T$26,I509,J509,$R$9:$R$26)</f>
        <v>ERROR: Please use BegPeriod &gt;= 1.</v>
      </c>
      <c r="H509" s="2">
        <f t="shared" si="50"/>
        <v>11</v>
      </c>
      <c r="I509" s="24">
        <f t="shared" si="54"/>
        <v>-9</v>
      </c>
      <c r="J509" s="24">
        <f t="shared" si="55"/>
        <v>12</v>
      </c>
      <c r="K509" s="17">
        <f t="shared" si="51"/>
        <v>-20</v>
      </c>
      <c r="M509" s="15">
        <f t="shared" ca="1" si="52"/>
        <v>0</v>
      </c>
      <c r="N509" s="15">
        <f t="shared" ca="1" si="53"/>
        <v>38383</v>
      </c>
      <c r="Z509" s="1"/>
    </row>
    <row r="510" spans="3:26" x14ac:dyDescent="0.2">
      <c r="C510" s="39"/>
      <c r="D510" s="39"/>
      <c r="E510" s="38">
        <f>[2]!expavg($T$9:$T$26,$R$9:$R$26,K510,H510)</f>
        <v>0.68957279758642287</v>
      </c>
      <c r="F510" s="38" t="str">
        <f>[2]!expavg2($T$9:$T$26,I510,J510,$R$9:$R$26)</f>
        <v>ERROR: Please use BegPeriod &gt;= 1.</v>
      </c>
      <c r="H510" s="2">
        <f t="shared" si="50"/>
        <v>10</v>
      </c>
      <c r="I510" s="24">
        <f t="shared" si="54"/>
        <v>-9</v>
      </c>
      <c r="J510" s="24">
        <f t="shared" si="55"/>
        <v>11</v>
      </c>
      <c r="K510" s="17">
        <f t="shared" si="51"/>
        <v>-19</v>
      </c>
      <c r="M510" s="15">
        <f t="shared" ca="1" si="52"/>
        <v>0</v>
      </c>
      <c r="N510" s="15">
        <f t="shared" ca="1" si="53"/>
        <v>38748</v>
      </c>
      <c r="Z510" s="1"/>
    </row>
    <row r="511" spans="3:26" x14ac:dyDescent="0.2">
      <c r="C511" s="39"/>
      <c r="D511" s="39"/>
      <c r="E511" s="38">
        <f>[2]!expavg($T$9:$T$26,$R$9:$R$26,K511,H511)</f>
        <v>0.67160897630855276</v>
      </c>
      <c r="F511" s="38" t="str">
        <f>[2]!expavg2($T$9:$T$26,I511,J511,$R$9:$R$26)</f>
        <v>ERROR: Please use BegPeriod &gt;= 1.</v>
      </c>
      <c r="H511" s="2">
        <f t="shared" si="50"/>
        <v>9</v>
      </c>
      <c r="I511" s="24">
        <f t="shared" si="54"/>
        <v>-9</v>
      </c>
      <c r="J511" s="24">
        <f t="shared" si="55"/>
        <v>10</v>
      </c>
      <c r="K511" s="17">
        <f t="shared" si="51"/>
        <v>-18</v>
      </c>
      <c r="M511" s="15">
        <f t="shared" ca="1" si="52"/>
        <v>0</v>
      </c>
      <c r="N511" s="15">
        <f t="shared" ca="1" si="53"/>
        <v>39113</v>
      </c>
      <c r="Z511" s="1"/>
    </row>
    <row r="512" spans="3:26" x14ac:dyDescent="0.2">
      <c r="C512" s="39"/>
      <c r="D512" s="39"/>
      <c r="E512" s="38">
        <f>[2]!expavg($T$9:$T$26,$R$9:$R$26,K512,H512)</f>
        <v>0.66527157980250695</v>
      </c>
      <c r="F512" s="38" t="str">
        <f>[2]!expavg2($T$9:$T$26,I512,J512,$R$9:$R$26)</f>
        <v>ERROR: Please use BegPeriod &gt;= 1.</v>
      </c>
      <c r="H512" s="2">
        <f t="shared" si="50"/>
        <v>8</v>
      </c>
      <c r="I512" s="24">
        <f t="shared" si="54"/>
        <v>-9</v>
      </c>
      <c r="J512" s="24">
        <f t="shared" si="55"/>
        <v>9</v>
      </c>
      <c r="K512" s="17">
        <f t="shared" si="51"/>
        <v>-17</v>
      </c>
      <c r="M512" s="15">
        <f t="shared" ca="1" si="52"/>
        <v>0</v>
      </c>
      <c r="N512" s="15">
        <f t="shared" ca="1" si="53"/>
        <v>39478</v>
      </c>
      <c r="Z512" s="1"/>
    </row>
    <row r="513" spans="3:26" x14ac:dyDescent="0.2">
      <c r="C513" s="39"/>
      <c r="D513" s="39"/>
      <c r="E513" s="38">
        <f>[2]!expavg($T$9:$T$26,$R$9:$R$26,K513,H513)</f>
        <v>0.68450987024306864</v>
      </c>
      <c r="F513" s="38" t="str">
        <f>[2]!expavg2($T$9:$T$26,I513,J513,$R$9:$R$26)</f>
        <v>ERROR: Please use BegPeriod &gt;= 1.</v>
      </c>
      <c r="H513" s="2">
        <f t="shared" si="50"/>
        <v>7</v>
      </c>
      <c r="I513" s="24">
        <f t="shared" si="54"/>
        <v>-9</v>
      </c>
      <c r="J513" s="24">
        <f t="shared" si="55"/>
        <v>8</v>
      </c>
      <c r="K513" s="17">
        <f t="shared" si="51"/>
        <v>-16</v>
      </c>
      <c r="M513" s="15">
        <f t="shared" ca="1" si="52"/>
        <v>0</v>
      </c>
      <c r="N513" s="15">
        <f t="shared" ca="1" si="53"/>
        <v>39844</v>
      </c>
      <c r="Z513" s="1"/>
    </row>
    <row r="514" spans="3:26" x14ac:dyDescent="0.2">
      <c r="C514" s="39"/>
      <c r="D514" s="39"/>
      <c r="E514" s="38">
        <f>[2]!expavg($T$9:$T$26,$R$9:$R$26,K514,H514)</f>
        <v>0.67627397338659268</v>
      </c>
      <c r="F514" s="38" t="str">
        <f>[2]!expavg2($T$9:$T$26,I514,J514,$R$9:$R$26)</f>
        <v>ERROR: Please use BegPeriod &gt;= 1.</v>
      </c>
      <c r="H514" s="2">
        <f t="shared" si="50"/>
        <v>6</v>
      </c>
      <c r="I514" s="24">
        <f t="shared" si="54"/>
        <v>-9</v>
      </c>
      <c r="J514" s="24">
        <f t="shared" si="55"/>
        <v>7</v>
      </c>
      <c r="K514" s="17">
        <f t="shared" si="51"/>
        <v>-15</v>
      </c>
      <c r="M514" s="15">
        <f t="shared" ca="1" si="52"/>
        <v>0</v>
      </c>
      <c r="N514" s="15">
        <f t="shared" ca="1" si="53"/>
        <v>40209</v>
      </c>
      <c r="Z514" s="1"/>
    </row>
    <row r="515" spans="3:26" x14ac:dyDescent="0.2">
      <c r="C515" s="39"/>
      <c r="D515" s="39"/>
      <c r="E515" s="38">
        <f>[2]!expavg($T$9:$T$26,$R$9:$R$26,K515,H515)</f>
        <v>0.66006899259190965</v>
      </c>
      <c r="F515" s="38" t="str">
        <f>[2]!expavg2($T$9:$T$26,I515,J515,$R$9:$R$26)</f>
        <v>ERROR: Please use BegPeriod &gt;= 1.</v>
      </c>
      <c r="H515" s="2">
        <f t="shared" si="50"/>
        <v>5</v>
      </c>
      <c r="I515" s="24">
        <f t="shared" si="54"/>
        <v>-9</v>
      </c>
      <c r="J515" s="24">
        <f t="shared" si="55"/>
        <v>6</v>
      </c>
      <c r="K515" s="17">
        <f t="shared" si="51"/>
        <v>-14</v>
      </c>
      <c r="M515" s="15">
        <f t="shared" ca="1" si="52"/>
        <v>0</v>
      </c>
      <c r="N515" s="15">
        <f t="shared" ca="1" si="53"/>
        <v>40574</v>
      </c>
      <c r="Z515" s="1"/>
    </row>
    <row r="516" spans="3:26" x14ac:dyDescent="0.2">
      <c r="C516" s="39"/>
      <c r="D516" s="39"/>
      <c r="E516" s="38">
        <f>[2]!expavg($T$9:$T$26,$R$9:$R$26,K516,H516)</f>
        <v>0.64048216018789683</v>
      </c>
      <c r="F516" s="38" t="str">
        <f>[2]!expavg2($T$9:$T$26,I516,J516,$R$9:$R$26)</f>
        <v>ERROR: Please use BegPeriod &gt;= 1.</v>
      </c>
      <c r="H516" s="2">
        <f t="shared" si="50"/>
        <v>4</v>
      </c>
      <c r="I516" s="24">
        <f t="shared" si="54"/>
        <v>-9</v>
      </c>
      <c r="J516" s="24">
        <f t="shared" si="55"/>
        <v>5</v>
      </c>
      <c r="K516" s="17">
        <f t="shared" si="51"/>
        <v>-13</v>
      </c>
      <c r="M516" s="15">
        <f t="shared" ca="1" si="52"/>
        <v>0</v>
      </c>
      <c r="N516" s="15">
        <f t="shared" ca="1" si="53"/>
        <v>40939</v>
      </c>
      <c r="Z516" s="1"/>
    </row>
    <row r="517" spans="3:26" x14ac:dyDescent="0.2">
      <c r="C517" s="39"/>
      <c r="D517" s="39"/>
      <c r="E517" s="38">
        <f>[2]!expavg($T$9:$T$26,$R$9:$R$26,K517,H517)</f>
        <v>0.62815488340610859</v>
      </c>
      <c r="F517" s="38" t="str">
        <f>[2]!expavg2($T$9:$T$26,I517,J517,$R$9:$R$26)</f>
        <v>ERROR: Please use BegPeriod &gt;= 1.</v>
      </c>
      <c r="H517" s="2">
        <f t="shared" si="50"/>
        <v>3</v>
      </c>
      <c r="I517" s="24">
        <f t="shared" si="54"/>
        <v>-9</v>
      </c>
      <c r="J517" s="24">
        <f t="shared" si="55"/>
        <v>4</v>
      </c>
      <c r="K517" s="17">
        <f t="shared" si="51"/>
        <v>-12</v>
      </c>
      <c r="M517" s="15">
        <f t="shared" ca="1" si="52"/>
        <v>0</v>
      </c>
      <c r="N517" s="15">
        <f t="shared" ca="1" si="53"/>
        <v>41305</v>
      </c>
      <c r="Z517" s="1"/>
    </row>
    <row r="518" spans="3:26" x14ac:dyDescent="0.2">
      <c r="C518" s="39"/>
      <c r="D518" s="39"/>
      <c r="E518" s="38">
        <f>[2]!expavg($T$9:$T$26,$R$9:$R$26,K518,H518)</f>
        <v>0.62040838094689943</v>
      </c>
      <c r="F518" s="38" t="str">
        <f>[2]!expavg2($T$9:$T$26,I518,J518,$R$9:$R$26)</f>
        <v>ERROR: Please use BegPeriod &gt;= 1.</v>
      </c>
      <c r="H518" s="2">
        <f t="shared" si="50"/>
        <v>2</v>
      </c>
      <c r="I518" s="24">
        <f t="shared" si="54"/>
        <v>-9</v>
      </c>
      <c r="J518" s="24">
        <f t="shared" si="55"/>
        <v>3</v>
      </c>
      <c r="K518" s="17">
        <f t="shared" si="51"/>
        <v>-11</v>
      </c>
      <c r="M518" s="15">
        <f t="shared" ca="1" si="52"/>
        <v>0</v>
      </c>
      <c r="N518" s="15">
        <f t="shared" ca="1" si="53"/>
        <v>41670</v>
      </c>
      <c r="Z518" s="1"/>
    </row>
    <row r="519" spans="3:26" x14ac:dyDescent="0.2">
      <c r="C519" s="39"/>
      <c r="D519" s="39"/>
      <c r="E519" s="38">
        <f>[2]!expavg($T$9:$T$26,$R$9:$R$26,K519,H519)</f>
        <v>0.60752408974439076</v>
      </c>
      <c r="F519" s="38" t="str">
        <f>[2]!expavg2($T$9:$T$26,I519,J519,$R$9:$R$26)</f>
        <v>ERROR: Please use BegPeriod &gt;= 1.</v>
      </c>
      <c r="H519" s="2">
        <f t="shared" si="50"/>
        <v>1</v>
      </c>
      <c r="I519" s="24">
        <f t="shared" si="54"/>
        <v>-9</v>
      </c>
      <c r="J519" s="24">
        <f t="shared" si="55"/>
        <v>2</v>
      </c>
      <c r="K519" s="17">
        <f t="shared" si="51"/>
        <v>-10</v>
      </c>
      <c r="M519" s="15">
        <f t="shared" ca="1" si="52"/>
        <v>0</v>
      </c>
      <c r="N519" s="15">
        <f t="shared" ca="1" si="53"/>
        <v>42035</v>
      </c>
      <c r="Z519" s="1"/>
    </row>
    <row r="520" spans="3:26" x14ac:dyDescent="0.2">
      <c r="C520" s="39"/>
      <c r="D520" s="39"/>
      <c r="E520" s="38">
        <f>[2]!expavg($T$9:$T$26,$R$9:$R$26,K520,H520)</f>
        <v>0.60472044954610527</v>
      </c>
      <c r="F520" s="38" t="str">
        <f>[2]!expavg2($T$9:$T$26,I520,J520,$R$9:$R$26)</f>
        <v>ERROR: Please use BegPeriod &gt;= 1.</v>
      </c>
      <c r="H520" s="2">
        <f t="shared" si="50"/>
        <v>0</v>
      </c>
      <c r="I520" s="24">
        <f t="shared" si="54"/>
        <v>-9</v>
      </c>
      <c r="J520" s="24">
        <f t="shared" si="55"/>
        <v>1</v>
      </c>
      <c r="K520" s="17">
        <f t="shared" si="51"/>
        <v>-9</v>
      </c>
      <c r="M520" s="15">
        <f t="shared" ca="1" si="52"/>
        <v>0</v>
      </c>
      <c r="N520" s="15">
        <f t="shared" ca="1" si="53"/>
        <v>42400</v>
      </c>
      <c r="Z520" s="1"/>
    </row>
    <row r="521" spans="3:26" x14ac:dyDescent="0.2">
      <c r="C521" s="39"/>
      <c r="D521" s="39"/>
      <c r="E521" s="38">
        <f>[2]!expavg($T$9:$T$26,$R$9:$R$26,K521,H521)</f>
        <v>0.60472044954610527</v>
      </c>
      <c r="F521" s="38" t="str">
        <f>[2]!expavg2($T$9:$T$26,I521,J521,$R$9:$R$26)</f>
        <v>ERROR: Please use BegPeriod &gt;= 1.</v>
      </c>
      <c r="H521" s="2">
        <f t="shared" si="50"/>
        <v>-1</v>
      </c>
      <c r="I521" s="24">
        <f t="shared" si="54"/>
        <v>-9</v>
      </c>
      <c r="J521" s="24">
        <f t="shared" si="55"/>
        <v>0</v>
      </c>
      <c r="K521" s="17">
        <f t="shared" si="51"/>
        <v>-8</v>
      </c>
      <c r="M521" s="15">
        <f t="shared" ca="1" si="52"/>
        <v>0</v>
      </c>
      <c r="N521" s="15">
        <f t="shared" ca="1" si="53"/>
        <v>0</v>
      </c>
      <c r="Z521" s="1"/>
    </row>
    <row r="522" spans="3:26" x14ac:dyDescent="0.2">
      <c r="C522" s="39"/>
      <c r="D522" s="39"/>
      <c r="E522" s="38">
        <f>[2]!expavg($T$9:$T$26,$R$9:$R$26,K522,H522)</f>
        <v>0.60472044954610527</v>
      </c>
      <c r="F522" s="38" t="str">
        <f>[2]!expavg2($T$9:$T$26,I522,J522,$R$9:$R$26)</f>
        <v>ERROR: Please use BegPeriod &gt;= 1.</v>
      </c>
      <c r="H522" s="2">
        <f t="shared" si="50"/>
        <v>-2</v>
      </c>
      <c r="I522" s="24">
        <f t="shared" si="54"/>
        <v>-9</v>
      </c>
      <c r="J522" s="24">
        <f t="shared" si="55"/>
        <v>-1</v>
      </c>
      <c r="K522" s="17">
        <f t="shared" si="51"/>
        <v>-7</v>
      </c>
      <c r="M522" s="15">
        <f t="shared" ca="1" si="52"/>
        <v>0</v>
      </c>
      <c r="N522" s="15">
        <f t="shared" ca="1" si="53"/>
        <v>0</v>
      </c>
      <c r="Z522" s="1"/>
    </row>
    <row r="523" spans="3:26" x14ac:dyDescent="0.2">
      <c r="C523" s="39"/>
      <c r="D523" s="39"/>
      <c r="E523" s="38">
        <f>[2]!expavg($T$9:$T$26,$R$9:$R$26,K523,H523)</f>
        <v>0.70939186407915755</v>
      </c>
      <c r="F523" s="38" t="str">
        <f>[2]!expavg2($T$9:$T$26,I523,J523,$R$9:$R$26)</f>
        <v>ERROR: Please use BegPeriod &gt;= 1.</v>
      </c>
      <c r="H523" s="2">
        <f t="shared" si="50"/>
        <v>14</v>
      </c>
      <c r="I523" s="24">
        <f t="shared" si="54"/>
        <v>-10</v>
      </c>
      <c r="J523" s="24">
        <f t="shared" si="55"/>
        <v>15</v>
      </c>
      <c r="K523" s="17">
        <f t="shared" si="51"/>
        <v>-24</v>
      </c>
      <c r="M523" s="15">
        <f t="shared" ca="1" si="52"/>
        <v>0</v>
      </c>
      <c r="N523" s="15">
        <f t="shared" ca="1" si="53"/>
        <v>37287</v>
      </c>
      <c r="Z523" s="1"/>
    </row>
    <row r="524" spans="3:26" x14ac:dyDescent="0.2">
      <c r="C524" s="39"/>
      <c r="D524" s="39"/>
      <c r="E524" s="38">
        <f>[2]!expavg($T$9:$T$26,$R$9:$R$26,K524,H524)</f>
        <v>0.67177139323204882</v>
      </c>
      <c r="F524" s="38" t="str">
        <f>[2]!expavg2($T$9:$T$26,I524,J524,$R$9:$R$26)</f>
        <v>ERROR: Please use BegPeriod &gt;= 1.</v>
      </c>
      <c r="H524" s="2">
        <f t="shared" si="50"/>
        <v>13</v>
      </c>
      <c r="I524" s="24">
        <f t="shared" si="54"/>
        <v>-10</v>
      </c>
      <c r="J524" s="24">
        <f t="shared" si="55"/>
        <v>14</v>
      </c>
      <c r="K524" s="17">
        <f t="shared" si="51"/>
        <v>-23</v>
      </c>
      <c r="M524" s="15">
        <f t="shared" ca="1" si="52"/>
        <v>0</v>
      </c>
      <c r="N524" s="15">
        <f t="shared" ca="1" si="53"/>
        <v>37652</v>
      </c>
      <c r="Z524" s="1"/>
    </row>
    <row r="525" spans="3:26" x14ac:dyDescent="0.2">
      <c r="C525" s="39"/>
      <c r="D525" s="39"/>
      <c r="E525" s="38">
        <f>[2]!expavg($T$9:$T$26,$R$9:$R$26,K525,H525)</f>
        <v>0.66945167850810816</v>
      </c>
      <c r="F525" s="38" t="str">
        <f>[2]!expavg2($T$9:$T$26,I525,J525,$R$9:$R$26)</f>
        <v>ERROR: Please use BegPeriod &gt;= 1.</v>
      </c>
      <c r="H525" s="2">
        <f t="shared" si="50"/>
        <v>12</v>
      </c>
      <c r="I525" s="24">
        <f t="shared" si="54"/>
        <v>-10</v>
      </c>
      <c r="J525" s="24">
        <f t="shared" si="55"/>
        <v>13</v>
      </c>
      <c r="K525" s="17">
        <f t="shared" si="51"/>
        <v>-22</v>
      </c>
      <c r="M525" s="15">
        <f t="shared" ca="1" si="52"/>
        <v>0</v>
      </c>
      <c r="N525" s="15">
        <f t="shared" ca="1" si="53"/>
        <v>38017</v>
      </c>
      <c r="Z525" s="1"/>
    </row>
    <row r="526" spans="3:26" x14ac:dyDescent="0.2">
      <c r="C526" s="39"/>
      <c r="D526" s="39"/>
      <c r="E526" s="38">
        <f>[2]!expavg($T$9:$T$26,$R$9:$R$26,K526,H526)</f>
        <v>0.67904388723605558</v>
      </c>
      <c r="F526" s="38" t="str">
        <f>[2]!expavg2($T$9:$T$26,I526,J526,$R$9:$R$26)</f>
        <v>ERROR: Please use BegPeriod &gt;= 1.</v>
      </c>
      <c r="H526" s="2">
        <f t="shared" si="50"/>
        <v>11</v>
      </c>
      <c r="I526" s="24">
        <f t="shared" si="54"/>
        <v>-10</v>
      </c>
      <c r="J526" s="24">
        <f t="shared" si="55"/>
        <v>12</v>
      </c>
      <c r="K526" s="17">
        <f t="shared" si="51"/>
        <v>-21</v>
      </c>
      <c r="M526" s="15">
        <f t="shared" ca="1" si="52"/>
        <v>0</v>
      </c>
      <c r="N526" s="15">
        <f t="shared" ca="1" si="53"/>
        <v>38383</v>
      </c>
      <c r="Z526" s="1"/>
    </row>
    <row r="527" spans="3:26" x14ac:dyDescent="0.2">
      <c r="C527" s="39"/>
      <c r="D527" s="39"/>
      <c r="E527" s="38">
        <f>[2]!expavg($T$9:$T$26,$R$9:$R$26,K527,H527)</f>
        <v>0.68957279758642287</v>
      </c>
      <c r="F527" s="38" t="str">
        <f>[2]!expavg2($T$9:$T$26,I527,J527,$R$9:$R$26)</f>
        <v>ERROR: Please use BegPeriod &gt;= 1.</v>
      </c>
      <c r="H527" s="2">
        <f t="shared" si="50"/>
        <v>10</v>
      </c>
      <c r="I527" s="24">
        <f t="shared" si="54"/>
        <v>-10</v>
      </c>
      <c r="J527" s="24">
        <f t="shared" si="55"/>
        <v>11</v>
      </c>
      <c r="K527" s="17">
        <f t="shared" si="51"/>
        <v>-20</v>
      </c>
      <c r="M527" s="15">
        <f t="shared" ca="1" si="52"/>
        <v>0</v>
      </c>
      <c r="N527" s="15">
        <f t="shared" ca="1" si="53"/>
        <v>38748</v>
      </c>
      <c r="Z527" s="1"/>
    </row>
    <row r="528" spans="3:26" x14ac:dyDescent="0.2">
      <c r="C528" s="39"/>
      <c r="D528" s="39"/>
      <c r="E528" s="38">
        <f>[2]!expavg($T$9:$T$26,$R$9:$R$26,K528,H528)</f>
        <v>0.67160897630855276</v>
      </c>
      <c r="F528" s="38" t="str">
        <f>[2]!expavg2($T$9:$T$26,I528,J528,$R$9:$R$26)</f>
        <v>ERROR: Please use BegPeriod &gt;= 1.</v>
      </c>
      <c r="H528" s="2">
        <f t="shared" si="50"/>
        <v>9</v>
      </c>
      <c r="I528" s="24">
        <f t="shared" si="54"/>
        <v>-10</v>
      </c>
      <c r="J528" s="24">
        <f t="shared" si="55"/>
        <v>10</v>
      </c>
      <c r="K528" s="17">
        <f t="shared" si="51"/>
        <v>-19</v>
      </c>
      <c r="M528" s="15">
        <f t="shared" ca="1" si="52"/>
        <v>0</v>
      </c>
      <c r="N528" s="15">
        <f t="shared" ca="1" si="53"/>
        <v>39113</v>
      </c>
      <c r="Z528" s="1"/>
    </row>
    <row r="529" spans="3:26" x14ac:dyDescent="0.2">
      <c r="C529" s="39"/>
      <c r="D529" s="39"/>
      <c r="E529" s="38">
        <f>[2]!expavg($T$9:$T$26,$R$9:$R$26,K529,H529)</f>
        <v>0.66527157980250695</v>
      </c>
      <c r="F529" s="38" t="str">
        <f>[2]!expavg2($T$9:$T$26,I529,J529,$R$9:$R$26)</f>
        <v>ERROR: Please use BegPeriod &gt;= 1.</v>
      </c>
      <c r="H529" s="2">
        <f t="shared" si="50"/>
        <v>8</v>
      </c>
      <c r="I529" s="24">
        <f t="shared" si="54"/>
        <v>-10</v>
      </c>
      <c r="J529" s="24">
        <f t="shared" si="55"/>
        <v>9</v>
      </c>
      <c r="K529" s="17">
        <f t="shared" si="51"/>
        <v>-18</v>
      </c>
      <c r="M529" s="15">
        <f t="shared" ca="1" si="52"/>
        <v>0</v>
      </c>
      <c r="N529" s="15">
        <f t="shared" ca="1" si="53"/>
        <v>39478</v>
      </c>
      <c r="Z529" s="1"/>
    </row>
    <row r="530" spans="3:26" x14ac:dyDescent="0.2">
      <c r="C530" s="39"/>
      <c r="D530" s="39"/>
      <c r="E530" s="38">
        <f>[2]!expavg($T$9:$T$26,$R$9:$R$26,K530,H530)</f>
        <v>0.68450987024306864</v>
      </c>
      <c r="F530" s="38" t="str">
        <f>[2]!expavg2($T$9:$T$26,I530,J530,$R$9:$R$26)</f>
        <v>ERROR: Please use BegPeriod &gt;= 1.</v>
      </c>
      <c r="H530" s="2">
        <f t="shared" si="50"/>
        <v>7</v>
      </c>
      <c r="I530" s="24">
        <f t="shared" si="54"/>
        <v>-10</v>
      </c>
      <c r="J530" s="24">
        <f t="shared" si="55"/>
        <v>8</v>
      </c>
      <c r="K530" s="17">
        <f t="shared" si="51"/>
        <v>-17</v>
      </c>
      <c r="M530" s="15">
        <f t="shared" ca="1" si="52"/>
        <v>0</v>
      </c>
      <c r="N530" s="15">
        <f t="shared" ca="1" si="53"/>
        <v>39844</v>
      </c>
      <c r="Z530" s="1"/>
    </row>
    <row r="531" spans="3:26" x14ac:dyDescent="0.2">
      <c r="C531" s="39"/>
      <c r="D531" s="39"/>
      <c r="E531" s="38">
        <f>[2]!expavg($T$9:$T$26,$R$9:$R$26,K531,H531)</f>
        <v>0.67627397338659268</v>
      </c>
      <c r="F531" s="38" t="str">
        <f>[2]!expavg2($T$9:$T$26,I531,J531,$R$9:$R$26)</f>
        <v>ERROR: Please use BegPeriod &gt;= 1.</v>
      </c>
      <c r="H531" s="2">
        <f t="shared" si="50"/>
        <v>6</v>
      </c>
      <c r="I531" s="24">
        <f t="shared" si="54"/>
        <v>-10</v>
      </c>
      <c r="J531" s="24">
        <f t="shared" si="55"/>
        <v>7</v>
      </c>
      <c r="K531" s="17">
        <f t="shared" si="51"/>
        <v>-16</v>
      </c>
      <c r="M531" s="15">
        <f t="shared" ca="1" si="52"/>
        <v>0</v>
      </c>
      <c r="N531" s="15">
        <f t="shared" ca="1" si="53"/>
        <v>40209</v>
      </c>
      <c r="Z531" s="1"/>
    </row>
    <row r="532" spans="3:26" x14ac:dyDescent="0.2">
      <c r="C532" s="39"/>
      <c r="D532" s="39"/>
      <c r="E532" s="38">
        <f>[2]!expavg($T$9:$T$26,$R$9:$R$26,K532,H532)</f>
        <v>0.66006899259190965</v>
      </c>
      <c r="F532" s="38" t="str">
        <f>[2]!expavg2($T$9:$T$26,I532,J532,$R$9:$R$26)</f>
        <v>ERROR: Please use BegPeriod &gt;= 1.</v>
      </c>
      <c r="H532" s="2">
        <f t="shared" si="50"/>
        <v>5</v>
      </c>
      <c r="I532" s="24">
        <f t="shared" si="54"/>
        <v>-10</v>
      </c>
      <c r="J532" s="24">
        <f t="shared" si="55"/>
        <v>6</v>
      </c>
      <c r="K532" s="17">
        <f t="shared" si="51"/>
        <v>-15</v>
      </c>
      <c r="M532" s="15">
        <f t="shared" ca="1" si="52"/>
        <v>0</v>
      </c>
      <c r="N532" s="15">
        <f t="shared" ca="1" si="53"/>
        <v>40574</v>
      </c>
      <c r="Z532" s="1"/>
    </row>
    <row r="533" spans="3:26" x14ac:dyDescent="0.2">
      <c r="C533" s="39"/>
      <c r="D533" s="39"/>
      <c r="E533" s="38">
        <f>[2]!expavg($T$9:$T$26,$R$9:$R$26,K533,H533)</f>
        <v>0.64048216018789683</v>
      </c>
      <c r="F533" s="38" t="str">
        <f>[2]!expavg2($T$9:$T$26,I533,J533,$R$9:$R$26)</f>
        <v>ERROR: Please use BegPeriod &gt;= 1.</v>
      </c>
      <c r="H533" s="2">
        <f t="shared" si="50"/>
        <v>4</v>
      </c>
      <c r="I533" s="24">
        <f t="shared" si="54"/>
        <v>-10</v>
      </c>
      <c r="J533" s="24">
        <f t="shared" si="55"/>
        <v>5</v>
      </c>
      <c r="K533" s="17">
        <f t="shared" si="51"/>
        <v>-14</v>
      </c>
      <c r="M533" s="15">
        <f t="shared" ca="1" si="52"/>
        <v>0</v>
      </c>
      <c r="N533" s="15">
        <f t="shared" ca="1" si="53"/>
        <v>40939</v>
      </c>
      <c r="Z533" s="1"/>
    </row>
    <row r="534" spans="3:26" x14ac:dyDescent="0.2">
      <c r="C534" s="39"/>
      <c r="D534" s="39"/>
      <c r="E534" s="38">
        <f>[2]!expavg($T$9:$T$26,$R$9:$R$26,K534,H534)</f>
        <v>0.62815488340610859</v>
      </c>
      <c r="F534" s="38" t="str">
        <f>[2]!expavg2($T$9:$T$26,I534,J534,$R$9:$R$26)</f>
        <v>ERROR: Please use BegPeriod &gt;= 1.</v>
      </c>
      <c r="H534" s="2">
        <f t="shared" si="50"/>
        <v>3</v>
      </c>
      <c r="I534" s="24">
        <f t="shared" si="54"/>
        <v>-10</v>
      </c>
      <c r="J534" s="24">
        <f t="shared" si="55"/>
        <v>4</v>
      </c>
      <c r="K534" s="17">
        <f t="shared" si="51"/>
        <v>-13</v>
      </c>
      <c r="M534" s="15">
        <f t="shared" ca="1" si="52"/>
        <v>0</v>
      </c>
      <c r="N534" s="15">
        <f t="shared" ca="1" si="53"/>
        <v>41305</v>
      </c>
      <c r="Z534" s="1"/>
    </row>
    <row r="535" spans="3:26" x14ac:dyDescent="0.2">
      <c r="C535" s="39"/>
      <c r="D535" s="39"/>
      <c r="E535" s="38">
        <f>[2]!expavg($T$9:$T$26,$R$9:$R$26,K535,H535)</f>
        <v>0.62040838094689943</v>
      </c>
      <c r="F535" s="38" t="str">
        <f>[2]!expavg2($T$9:$T$26,I535,J535,$R$9:$R$26)</f>
        <v>ERROR: Please use BegPeriod &gt;= 1.</v>
      </c>
      <c r="H535" s="2">
        <f t="shared" si="50"/>
        <v>2</v>
      </c>
      <c r="I535" s="24">
        <f t="shared" si="54"/>
        <v>-10</v>
      </c>
      <c r="J535" s="24">
        <f t="shared" si="55"/>
        <v>3</v>
      </c>
      <c r="K535" s="17">
        <f t="shared" si="51"/>
        <v>-12</v>
      </c>
      <c r="M535" s="15">
        <f t="shared" ca="1" si="52"/>
        <v>0</v>
      </c>
      <c r="N535" s="15">
        <f t="shared" ca="1" si="53"/>
        <v>41670</v>
      </c>
      <c r="Z535" s="1"/>
    </row>
    <row r="536" spans="3:26" x14ac:dyDescent="0.2">
      <c r="C536" s="39"/>
      <c r="D536" s="39"/>
      <c r="E536" s="38">
        <f>[2]!expavg($T$9:$T$26,$R$9:$R$26,K536,H536)</f>
        <v>0.60752408974439076</v>
      </c>
      <c r="F536" s="38" t="str">
        <f>[2]!expavg2($T$9:$T$26,I536,J536,$R$9:$R$26)</f>
        <v>ERROR: Please use BegPeriod &gt;= 1.</v>
      </c>
      <c r="H536" s="2">
        <f t="shared" si="50"/>
        <v>1</v>
      </c>
      <c r="I536" s="24">
        <f t="shared" si="54"/>
        <v>-10</v>
      </c>
      <c r="J536" s="24">
        <f t="shared" si="55"/>
        <v>2</v>
      </c>
      <c r="K536" s="17">
        <f t="shared" si="51"/>
        <v>-11</v>
      </c>
      <c r="M536" s="15">
        <f t="shared" ca="1" si="52"/>
        <v>0</v>
      </c>
      <c r="N536" s="15">
        <f t="shared" ca="1" si="53"/>
        <v>42035</v>
      </c>
      <c r="Z536" s="1"/>
    </row>
    <row r="537" spans="3:26" x14ac:dyDescent="0.2">
      <c r="C537" s="39"/>
      <c r="D537" s="39"/>
      <c r="E537" s="38">
        <f>[2]!expavg($T$9:$T$26,$R$9:$R$26,K537,H537)</f>
        <v>0.60472044954610527</v>
      </c>
      <c r="F537" s="38" t="str">
        <f>[2]!expavg2($T$9:$T$26,I537,J537,$R$9:$R$26)</f>
        <v>ERROR: Please use BegPeriod &gt;= 1.</v>
      </c>
      <c r="H537" s="2">
        <f t="shared" si="50"/>
        <v>0</v>
      </c>
      <c r="I537" s="24">
        <f t="shared" si="54"/>
        <v>-10</v>
      </c>
      <c r="J537" s="24">
        <f t="shared" si="55"/>
        <v>1</v>
      </c>
      <c r="K537" s="17">
        <f t="shared" si="51"/>
        <v>-10</v>
      </c>
      <c r="M537" s="15">
        <f t="shared" ca="1" si="52"/>
        <v>0</v>
      </c>
      <c r="N537" s="15">
        <f t="shared" ca="1" si="53"/>
        <v>42400</v>
      </c>
      <c r="Z537" s="1"/>
    </row>
    <row r="538" spans="3:26" x14ac:dyDescent="0.2">
      <c r="C538" s="39"/>
      <c r="D538" s="39"/>
      <c r="E538" s="38">
        <f>[2]!expavg($T$9:$T$26,$R$9:$R$26,K538,H538)</f>
        <v>0.60472044954610527</v>
      </c>
      <c r="F538" s="38" t="str">
        <f>[2]!expavg2($T$9:$T$26,I538,J538,$R$9:$R$26)</f>
        <v>ERROR: Please use BegPeriod &gt;= 1.</v>
      </c>
      <c r="H538" s="2">
        <f t="shared" si="50"/>
        <v>-1</v>
      </c>
      <c r="I538" s="24">
        <f t="shared" si="54"/>
        <v>-10</v>
      </c>
      <c r="J538" s="24">
        <f t="shared" si="55"/>
        <v>0</v>
      </c>
      <c r="K538" s="17">
        <f t="shared" si="51"/>
        <v>-9</v>
      </c>
      <c r="M538" s="15">
        <f t="shared" ca="1" si="52"/>
        <v>0</v>
      </c>
      <c r="N538" s="15">
        <f t="shared" ca="1" si="53"/>
        <v>0</v>
      </c>
      <c r="Z538" s="1"/>
    </row>
    <row r="539" spans="3:26" x14ac:dyDescent="0.2">
      <c r="C539" s="39"/>
      <c r="D539" s="39"/>
      <c r="E539" s="38">
        <f>[2]!expavg($T$9:$T$26,$R$9:$R$26,K539,H539)</f>
        <v>0.60472044954610527</v>
      </c>
      <c r="F539" s="38" t="str">
        <f>[2]!expavg2($T$9:$T$26,I539,J539,$R$9:$R$26)</f>
        <v>ERROR: Please use BegPeriod &gt;= 1.</v>
      </c>
      <c r="H539" s="2">
        <f t="shared" si="50"/>
        <v>-2</v>
      </c>
      <c r="I539" s="24">
        <f t="shared" si="54"/>
        <v>-10</v>
      </c>
      <c r="J539" s="24">
        <f t="shared" si="55"/>
        <v>-1</v>
      </c>
      <c r="K539" s="17">
        <f t="shared" si="51"/>
        <v>-8</v>
      </c>
      <c r="M539" s="15">
        <f t="shared" ca="1" si="52"/>
        <v>0</v>
      </c>
      <c r="N539" s="15">
        <f t="shared" ca="1" si="53"/>
        <v>0</v>
      </c>
      <c r="Z539" s="1"/>
    </row>
    <row r="540" spans="3:26" x14ac:dyDescent="0.2">
      <c r="C540" s="39"/>
      <c r="D540" s="39"/>
      <c r="E540" s="38">
        <f>[2]!expavg($T$9:$T$26,$R$9:$R$26,K540,H540)</f>
        <v>0.70939186407915755</v>
      </c>
      <c r="F540" s="38" t="str">
        <f>[2]!expavg2($T$9:$T$26,I540,J540,$R$9:$R$26)</f>
        <v>ERROR: Please use BegPeriod &gt;= 1.</v>
      </c>
      <c r="H540" s="2">
        <f t="shared" si="50"/>
        <v>14</v>
      </c>
      <c r="I540" s="24">
        <f t="shared" si="54"/>
        <v>-11</v>
      </c>
      <c r="J540" s="24">
        <f t="shared" si="55"/>
        <v>15</v>
      </c>
      <c r="K540" s="17">
        <f t="shared" si="51"/>
        <v>-25</v>
      </c>
      <c r="M540" s="15">
        <f t="shared" ca="1" si="52"/>
        <v>0</v>
      </c>
      <c r="N540" s="15">
        <f t="shared" ca="1" si="53"/>
        <v>37287</v>
      </c>
      <c r="Z540" s="1"/>
    </row>
    <row r="541" spans="3:26" x14ac:dyDescent="0.2">
      <c r="C541" s="39"/>
      <c r="D541" s="39"/>
      <c r="E541" s="38">
        <f>[2]!expavg($T$9:$T$26,$R$9:$R$26,K541,H541)</f>
        <v>0.67177139323204882</v>
      </c>
      <c r="F541" s="38" t="str">
        <f>[2]!expavg2($T$9:$T$26,I541,J541,$R$9:$R$26)</f>
        <v>ERROR: Please use BegPeriod &gt;= 1.</v>
      </c>
      <c r="H541" s="2">
        <f t="shared" si="50"/>
        <v>13</v>
      </c>
      <c r="I541" s="24">
        <f t="shared" si="54"/>
        <v>-11</v>
      </c>
      <c r="J541" s="24">
        <f t="shared" si="55"/>
        <v>14</v>
      </c>
      <c r="K541" s="17">
        <f t="shared" si="51"/>
        <v>-24</v>
      </c>
      <c r="M541" s="15">
        <f t="shared" ca="1" si="52"/>
        <v>0</v>
      </c>
      <c r="N541" s="15">
        <f t="shared" ca="1" si="53"/>
        <v>37652</v>
      </c>
      <c r="Z541" s="1"/>
    </row>
    <row r="542" spans="3:26" x14ac:dyDescent="0.2">
      <c r="C542" s="39"/>
      <c r="D542" s="39"/>
      <c r="E542" s="38">
        <f>[2]!expavg($T$9:$T$26,$R$9:$R$26,K542,H542)</f>
        <v>0.66945167850810816</v>
      </c>
      <c r="F542" s="38" t="str">
        <f>[2]!expavg2($T$9:$T$26,I542,J542,$R$9:$R$26)</f>
        <v>ERROR: Please use BegPeriod &gt;= 1.</v>
      </c>
      <c r="H542" s="2">
        <f t="shared" si="50"/>
        <v>12</v>
      </c>
      <c r="I542" s="24">
        <f t="shared" si="54"/>
        <v>-11</v>
      </c>
      <c r="J542" s="24">
        <f t="shared" si="55"/>
        <v>13</v>
      </c>
      <c r="K542" s="17">
        <f t="shared" si="51"/>
        <v>-23</v>
      </c>
      <c r="M542" s="15">
        <f t="shared" ca="1" si="52"/>
        <v>0</v>
      </c>
      <c r="N542" s="15">
        <f t="shared" ca="1" si="53"/>
        <v>38017</v>
      </c>
      <c r="Z542" s="1"/>
    </row>
    <row r="543" spans="3:26" x14ac:dyDescent="0.2">
      <c r="C543" s="39"/>
      <c r="D543" s="39"/>
      <c r="E543" s="38">
        <f>[2]!expavg($T$9:$T$26,$R$9:$R$26,K543,H543)</f>
        <v>0.67904388723605558</v>
      </c>
      <c r="F543" s="38" t="str">
        <f>[2]!expavg2($T$9:$T$26,I543,J543,$R$9:$R$26)</f>
        <v>ERROR: Please use BegPeriod &gt;= 1.</v>
      </c>
      <c r="H543" s="2">
        <f t="shared" si="50"/>
        <v>11</v>
      </c>
      <c r="I543" s="24">
        <f t="shared" si="54"/>
        <v>-11</v>
      </c>
      <c r="J543" s="24">
        <f t="shared" si="55"/>
        <v>12</v>
      </c>
      <c r="K543" s="17">
        <f t="shared" si="51"/>
        <v>-22</v>
      </c>
      <c r="M543" s="15">
        <f t="shared" ca="1" si="52"/>
        <v>0</v>
      </c>
      <c r="N543" s="15">
        <f t="shared" ca="1" si="53"/>
        <v>38383</v>
      </c>
      <c r="Z543" s="1"/>
    </row>
    <row r="544" spans="3:26" x14ac:dyDescent="0.2">
      <c r="C544" s="39"/>
      <c r="D544" s="39"/>
      <c r="E544" s="38">
        <f>[2]!expavg($T$9:$T$26,$R$9:$R$26,K544,H544)</f>
        <v>0.68957279758642287</v>
      </c>
      <c r="F544" s="38" t="str">
        <f>[2]!expavg2($T$9:$T$26,I544,J544,$R$9:$R$26)</f>
        <v>ERROR: Please use BegPeriod &gt;= 1.</v>
      </c>
      <c r="H544" s="2">
        <f t="shared" si="50"/>
        <v>10</v>
      </c>
      <c r="I544" s="24">
        <f t="shared" si="54"/>
        <v>-11</v>
      </c>
      <c r="J544" s="24">
        <f t="shared" si="55"/>
        <v>11</v>
      </c>
      <c r="K544" s="17">
        <f t="shared" si="51"/>
        <v>-21</v>
      </c>
      <c r="M544" s="15">
        <f t="shared" ca="1" si="52"/>
        <v>0</v>
      </c>
      <c r="N544" s="15">
        <f t="shared" ca="1" si="53"/>
        <v>38748</v>
      </c>
      <c r="Z544" s="1"/>
    </row>
    <row r="545" spans="3:26" x14ac:dyDescent="0.2">
      <c r="C545" s="39"/>
      <c r="D545" s="39"/>
      <c r="E545" s="38">
        <f>[2]!expavg($T$9:$T$26,$R$9:$R$26,K545,H545)</f>
        <v>0.67160897630855276</v>
      </c>
      <c r="F545" s="38" t="str">
        <f>[2]!expavg2($T$9:$T$26,I545,J545,$R$9:$R$26)</f>
        <v>ERROR: Please use BegPeriod &gt;= 1.</v>
      </c>
      <c r="H545" s="2">
        <f t="shared" si="50"/>
        <v>9</v>
      </c>
      <c r="I545" s="24">
        <f t="shared" si="54"/>
        <v>-11</v>
      </c>
      <c r="J545" s="24">
        <f t="shared" si="55"/>
        <v>10</v>
      </c>
      <c r="K545" s="17">
        <f t="shared" si="51"/>
        <v>-20</v>
      </c>
      <c r="M545" s="15">
        <f t="shared" ca="1" si="52"/>
        <v>0</v>
      </c>
      <c r="N545" s="15">
        <f t="shared" ca="1" si="53"/>
        <v>39113</v>
      </c>
      <c r="Z545" s="1"/>
    </row>
    <row r="546" spans="3:26" x14ac:dyDescent="0.2">
      <c r="C546" s="39"/>
      <c r="D546" s="39"/>
      <c r="E546" s="38">
        <f>[2]!expavg($T$9:$T$26,$R$9:$R$26,K546,H546)</f>
        <v>0.66527157980250695</v>
      </c>
      <c r="F546" s="38" t="str">
        <f>[2]!expavg2($T$9:$T$26,I546,J546,$R$9:$R$26)</f>
        <v>ERROR: Please use BegPeriod &gt;= 1.</v>
      </c>
      <c r="H546" s="2">
        <f t="shared" si="50"/>
        <v>8</v>
      </c>
      <c r="I546" s="24">
        <f t="shared" si="54"/>
        <v>-11</v>
      </c>
      <c r="J546" s="24">
        <f t="shared" si="55"/>
        <v>9</v>
      </c>
      <c r="K546" s="17">
        <f t="shared" si="51"/>
        <v>-19</v>
      </c>
      <c r="M546" s="15">
        <f t="shared" ca="1" si="52"/>
        <v>0</v>
      </c>
      <c r="N546" s="15">
        <f t="shared" ca="1" si="53"/>
        <v>39478</v>
      </c>
      <c r="Z546" s="1"/>
    </row>
    <row r="547" spans="3:26" x14ac:dyDescent="0.2">
      <c r="C547" s="39"/>
      <c r="D547" s="39"/>
      <c r="E547" s="38">
        <f>[2]!expavg($T$9:$T$26,$R$9:$R$26,K547,H547)</f>
        <v>0.68450987024306864</v>
      </c>
      <c r="F547" s="38" t="str">
        <f>[2]!expavg2($T$9:$T$26,I547,J547,$R$9:$R$26)</f>
        <v>ERROR: Please use BegPeriod &gt;= 1.</v>
      </c>
      <c r="H547" s="2">
        <f t="shared" si="50"/>
        <v>7</v>
      </c>
      <c r="I547" s="24">
        <f t="shared" si="54"/>
        <v>-11</v>
      </c>
      <c r="J547" s="24">
        <f t="shared" si="55"/>
        <v>8</v>
      </c>
      <c r="K547" s="17">
        <f t="shared" si="51"/>
        <v>-18</v>
      </c>
      <c r="M547" s="15">
        <f t="shared" ca="1" si="52"/>
        <v>0</v>
      </c>
      <c r="N547" s="15">
        <f t="shared" ca="1" si="53"/>
        <v>39844</v>
      </c>
      <c r="Z547" s="1"/>
    </row>
    <row r="548" spans="3:26" x14ac:dyDescent="0.2">
      <c r="C548" s="39"/>
      <c r="D548" s="39"/>
      <c r="E548" s="38">
        <f>[2]!expavg($T$9:$T$26,$R$9:$R$26,K548,H548)</f>
        <v>0.67627397338659268</v>
      </c>
      <c r="F548" s="38" t="str">
        <f>[2]!expavg2($T$9:$T$26,I548,J548,$R$9:$R$26)</f>
        <v>ERROR: Please use BegPeriod &gt;= 1.</v>
      </c>
      <c r="H548" s="2">
        <f t="shared" si="50"/>
        <v>6</v>
      </c>
      <c r="I548" s="24">
        <f t="shared" si="54"/>
        <v>-11</v>
      </c>
      <c r="J548" s="24">
        <f t="shared" si="55"/>
        <v>7</v>
      </c>
      <c r="K548" s="17">
        <f t="shared" si="51"/>
        <v>-17</v>
      </c>
      <c r="M548" s="15">
        <f t="shared" ca="1" si="52"/>
        <v>0</v>
      </c>
      <c r="N548" s="15">
        <f t="shared" ca="1" si="53"/>
        <v>40209</v>
      </c>
      <c r="Z548" s="1"/>
    </row>
    <row r="549" spans="3:26" x14ac:dyDescent="0.2">
      <c r="C549" s="39"/>
      <c r="D549" s="39"/>
      <c r="E549" s="38">
        <f>[2]!expavg($T$9:$T$26,$R$9:$R$26,K549,H549)</f>
        <v>0.66006899259190965</v>
      </c>
      <c r="F549" s="38" t="str">
        <f>[2]!expavg2($T$9:$T$26,I549,J549,$R$9:$R$26)</f>
        <v>ERROR: Please use BegPeriod &gt;= 1.</v>
      </c>
      <c r="H549" s="2">
        <f t="shared" si="50"/>
        <v>5</v>
      </c>
      <c r="I549" s="24">
        <f t="shared" si="54"/>
        <v>-11</v>
      </c>
      <c r="J549" s="24">
        <f t="shared" si="55"/>
        <v>6</v>
      </c>
      <c r="K549" s="17">
        <f t="shared" si="51"/>
        <v>-16</v>
      </c>
      <c r="M549" s="15">
        <f t="shared" ca="1" si="52"/>
        <v>0</v>
      </c>
      <c r="N549" s="15">
        <f t="shared" ca="1" si="53"/>
        <v>40574</v>
      </c>
      <c r="Z549" s="1"/>
    </row>
    <row r="550" spans="3:26" x14ac:dyDescent="0.2">
      <c r="C550" s="39"/>
      <c r="D550" s="39"/>
      <c r="E550" s="38">
        <f>[2]!expavg($T$9:$T$26,$R$9:$R$26,K550,H550)</f>
        <v>0.64048216018789683</v>
      </c>
      <c r="F550" s="38" t="str">
        <f>[2]!expavg2($T$9:$T$26,I550,J550,$R$9:$R$26)</f>
        <v>ERROR: Please use BegPeriod &gt;= 1.</v>
      </c>
      <c r="H550" s="2">
        <f t="shared" si="50"/>
        <v>4</v>
      </c>
      <c r="I550" s="24">
        <f t="shared" si="54"/>
        <v>-11</v>
      </c>
      <c r="J550" s="24">
        <f t="shared" si="55"/>
        <v>5</v>
      </c>
      <c r="K550" s="17">
        <f t="shared" si="51"/>
        <v>-15</v>
      </c>
      <c r="M550" s="15">
        <f t="shared" ca="1" si="52"/>
        <v>0</v>
      </c>
      <c r="N550" s="15">
        <f t="shared" ca="1" si="53"/>
        <v>40939</v>
      </c>
      <c r="Z550" s="1"/>
    </row>
    <row r="551" spans="3:26" x14ac:dyDescent="0.2">
      <c r="C551" s="39"/>
      <c r="D551" s="39"/>
      <c r="E551" s="38">
        <f>[2]!expavg($T$9:$T$26,$R$9:$R$26,K551,H551)</f>
        <v>0.62815488340610859</v>
      </c>
      <c r="F551" s="38" t="str">
        <f>[2]!expavg2($T$9:$T$26,I551,J551,$R$9:$R$26)</f>
        <v>ERROR: Please use BegPeriod &gt;= 1.</v>
      </c>
      <c r="H551" s="2">
        <f t="shared" si="50"/>
        <v>3</v>
      </c>
      <c r="I551" s="24">
        <f t="shared" si="54"/>
        <v>-11</v>
      </c>
      <c r="J551" s="24">
        <f t="shared" si="55"/>
        <v>4</v>
      </c>
      <c r="K551" s="17">
        <f t="shared" si="51"/>
        <v>-14</v>
      </c>
      <c r="M551" s="15">
        <f t="shared" ca="1" si="52"/>
        <v>0</v>
      </c>
      <c r="N551" s="15">
        <f t="shared" ca="1" si="53"/>
        <v>41305</v>
      </c>
      <c r="Z551" s="1"/>
    </row>
    <row r="552" spans="3:26" x14ac:dyDescent="0.2">
      <c r="C552" s="39"/>
      <c r="D552" s="39"/>
      <c r="E552" s="38">
        <f>[2]!expavg($T$9:$T$26,$R$9:$R$26,K552,H552)</f>
        <v>0.62040838094689943</v>
      </c>
      <c r="F552" s="38" t="str">
        <f>[2]!expavg2($T$9:$T$26,I552,J552,$R$9:$R$26)</f>
        <v>ERROR: Please use BegPeriod &gt;= 1.</v>
      </c>
      <c r="H552" s="2">
        <f t="shared" si="50"/>
        <v>2</v>
      </c>
      <c r="I552" s="24">
        <f t="shared" si="54"/>
        <v>-11</v>
      </c>
      <c r="J552" s="24">
        <f t="shared" si="55"/>
        <v>3</v>
      </c>
      <c r="K552" s="17">
        <f t="shared" si="51"/>
        <v>-13</v>
      </c>
      <c r="M552" s="15">
        <f t="shared" ca="1" si="52"/>
        <v>0</v>
      </c>
      <c r="N552" s="15">
        <f t="shared" ca="1" si="53"/>
        <v>41670</v>
      </c>
      <c r="Z552" s="1"/>
    </row>
    <row r="553" spans="3:26" x14ac:dyDescent="0.2">
      <c r="C553" s="39"/>
      <c r="D553" s="39"/>
      <c r="E553" s="38">
        <f>[2]!expavg($T$9:$T$26,$R$9:$R$26,K553,H553)</f>
        <v>0.60752408974439076</v>
      </c>
      <c r="F553" s="38" t="str">
        <f>[2]!expavg2($T$9:$T$26,I553,J553,$R$9:$R$26)</f>
        <v>ERROR: Please use BegPeriod &gt;= 1.</v>
      </c>
      <c r="H553" s="2">
        <f t="shared" si="50"/>
        <v>1</v>
      </c>
      <c r="I553" s="24">
        <f t="shared" si="54"/>
        <v>-11</v>
      </c>
      <c r="J553" s="24">
        <f t="shared" si="55"/>
        <v>2</v>
      </c>
      <c r="K553" s="17">
        <f t="shared" si="51"/>
        <v>-12</v>
      </c>
      <c r="M553" s="15">
        <f t="shared" ca="1" si="52"/>
        <v>0</v>
      </c>
      <c r="N553" s="15">
        <f t="shared" ca="1" si="53"/>
        <v>42035</v>
      </c>
      <c r="Z553" s="1"/>
    </row>
    <row r="554" spans="3:26" x14ac:dyDescent="0.2">
      <c r="C554" s="39"/>
      <c r="D554" s="39"/>
      <c r="E554" s="38">
        <f>[2]!expavg($T$9:$T$26,$R$9:$R$26,K554,H554)</f>
        <v>0.60472044954610527</v>
      </c>
      <c r="F554" s="38" t="str">
        <f>[2]!expavg2($T$9:$T$26,I554,J554,$R$9:$R$26)</f>
        <v>ERROR: Please use BegPeriod &gt;= 1.</v>
      </c>
      <c r="H554" s="2">
        <f t="shared" si="50"/>
        <v>0</v>
      </c>
      <c r="I554" s="24">
        <f t="shared" si="54"/>
        <v>-11</v>
      </c>
      <c r="J554" s="24">
        <f t="shared" si="55"/>
        <v>1</v>
      </c>
      <c r="K554" s="17">
        <f t="shared" si="51"/>
        <v>-11</v>
      </c>
      <c r="M554" s="15">
        <f t="shared" ca="1" si="52"/>
        <v>0</v>
      </c>
      <c r="N554" s="15">
        <f t="shared" ca="1" si="53"/>
        <v>42400</v>
      </c>
      <c r="Z554" s="1"/>
    </row>
    <row r="555" spans="3:26" x14ac:dyDescent="0.2">
      <c r="C555" s="39"/>
      <c r="D555" s="39"/>
      <c r="E555" s="38">
        <f>[2]!expavg($T$9:$T$26,$R$9:$R$26,K555,H555)</f>
        <v>0.60472044954610527</v>
      </c>
      <c r="F555" s="38" t="str">
        <f>[2]!expavg2($T$9:$T$26,I555,J555,$R$9:$R$26)</f>
        <v>ERROR: Please use BegPeriod &gt;= 1.</v>
      </c>
      <c r="H555" s="2">
        <f t="shared" si="50"/>
        <v>-1</v>
      </c>
      <c r="I555" s="24">
        <f t="shared" si="54"/>
        <v>-11</v>
      </c>
      <c r="J555" s="24">
        <f t="shared" si="55"/>
        <v>0</v>
      </c>
      <c r="K555" s="17">
        <f t="shared" si="51"/>
        <v>-10</v>
      </c>
      <c r="M555" s="15">
        <f t="shared" ca="1" si="52"/>
        <v>0</v>
      </c>
      <c r="N555" s="15">
        <f t="shared" ca="1" si="53"/>
        <v>0</v>
      </c>
      <c r="Z555" s="1"/>
    </row>
    <row r="556" spans="3:26" x14ac:dyDescent="0.2">
      <c r="C556" s="39"/>
      <c r="D556" s="39"/>
      <c r="E556" s="38">
        <f>[2]!expavg($T$9:$T$26,$R$9:$R$26,K556,H556)</f>
        <v>0.60472044954610527</v>
      </c>
      <c r="F556" s="38" t="str">
        <f>[2]!expavg2($T$9:$T$26,I556,J556,$R$9:$R$26)</f>
        <v>ERROR: Please use BegPeriod &gt;= 1.</v>
      </c>
      <c r="H556" s="2">
        <f t="shared" si="50"/>
        <v>-2</v>
      </c>
      <c r="I556" s="24">
        <f t="shared" si="54"/>
        <v>-11</v>
      </c>
      <c r="J556" s="24">
        <f t="shared" si="55"/>
        <v>-1</v>
      </c>
      <c r="K556" s="17">
        <f t="shared" si="51"/>
        <v>-9</v>
      </c>
      <c r="M556" s="15">
        <f t="shared" ca="1" si="52"/>
        <v>0</v>
      </c>
      <c r="N556" s="15">
        <f t="shared" ca="1" si="53"/>
        <v>0</v>
      </c>
      <c r="Z556" s="1"/>
    </row>
    <row r="557" spans="3:26" x14ac:dyDescent="0.2">
      <c r="C557" s="39"/>
      <c r="D557" s="39"/>
      <c r="E557" s="38">
        <f>[2]!expavg($T$9:$T$26,$R$9:$R$26,K557,H557)</f>
        <v>0.70939186407915755</v>
      </c>
      <c r="F557" s="38" t="str">
        <f>[2]!expavg2($T$9:$T$26,I557,J557,$R$9:$R$26)</f>
        <v>ERROR: Please use BegPeriod &gt;= 1.</v>
      </c>
      <c r="H557" s="2">
        <f t="shared" si="50"/>
        <v>14</v>
      </c>
      <c r="I557" s="24">
        <f t="shared" si="54"/>
        <v>-12</v>
      </c>
      <c r="J557" s="24">
        <f t="shared" si="55"/>
        <v>15</v>
      </c>
      <c r="K557" s="17">
        <f t="shared" si="51"/>
        <v>-26</v>
      </c>
      <c r="M557" s="15">
        <f t="shared" ca="1" si="52"/>
        <v>0</v>
      </c>
      <c r="N557" s="15">
        <f t="shared" ca="1" si="53"/>
        <v>37287</v>
      </c>
      <c r="Z557" s="1"/>
    </row>
    <row r="558" spans="3:26" x14ac:dyDescent="0.2">
      <c r="C558" s="39"/>
      <c r="D558" s="39"/>
      <c r="E558" s="38">
        <f>[2]!expavg($T$9:$T$26,$R$9:$R$26,K558,H558)</f>
        <v>0.67177139323204882</v>
      </c>
      <c r="F558" s="38" t="str">
        <f>[2]!expavg2($T$9:$T$26,I558,J558,$R$9:$R$26)</f>
        <v>ERROR: Please use BegPeriod &gt;= 1.</v>
      </c>
      <c r="H558" s="2">
        <f t="shared" si="50"/>
        <v>13</v>
      </c>
      <c r="I558" s="24">
        <f t="shared" si="54"/>
        <v>-12</v>
      </c>
      <c r="J558" s="24">
        <f t="shared" si="55"/>
        <v>14</v>
      </c>
      <c r="K558" s="17">
        <f t="shared" si="51"/>
        <v>-25</v>
      </c>
      <c r="M558" s="15">
        <f t="shared" ca="1" si="52"/>
        <v>0</v>
      </c>
      <c r="N558" s="15">
        <f t="shared" ca="1" si="53"/>
        <v>37652</v>
      </c>
      <c r="Z558" s="1"/>
    </row>
    <row r="559" spans="3:26" x14ac:dyDescent="0.2">
      <c r="C559" s="39"/>
      <c r="D559" s="39"/>
      <c r="E559" s="38">
        <f>[2]!expavg($T$9:$T$26,$R$9:$R$26,K559,H559)</f>
        <v>0.66945167850810816</v>
      </c>
      <c r="F559" s="38" t="str">
        <f>[2]!expavg2($T$9:$T$26,I559,J559,$R$9:$R$26)</f>
        <v>ERROR: Please use BegPeriod &gt;= 1.</v>
      </c>
      <c r="H559" s="2">
        <f t="shared" si="50"/>
        <v>12</v>
      </c>
      <c r="I559" s="24">
        <f t="shared" si="54"/>
        <v>-12</v>
      </c>
      <c r="J559" s="24">
        <f t="shared" si="55"/>
        <v>13</v>
      </c>
      <c r="K559" s="17">
        <f t="shared" si="51"/>
        <v>-24</v>
      </c>
      <c r="M559" s="15">
        <f t="shared" ca="1" si="52"/>
        <v>0</v>
      </c>
      <c r="N559" s="15">
        <f t="shared" ca="1" si="53"/>
        <v>38017</v>
      </c>
      <c r="Z559" s="1"/>
    </row>
    <row r="560" spans="3:26" x14ac:dyDescent="0.2">
      <c r="C560" s="39"/>
      <c r="D560" s="39"/>
      <c r="E560" s="38">
        <f>[2]!expavg($T$9:$T$26,$R$9:$R$26,K560,H560)</f>
        <v>0.67904388723605558</v>
      </c>
      <c r="F560" s="38" t="str">
        <f>[2]!expavg2($T$9:$T$26,I560,J560,$R$9:$R$26)</f>
        <v>ERROR: Please use BegPeriod &gt;= 1.</v>
      </c>
      <c r="H560" s="2">
        <f t="shared" ref="H560:H623" si="56">J560-1</f>
        <v>11</v>
      </c>
      <c r="I560" s="24">
        <f t="shared" si="54"/>
        <v>-12</v>
      </c>
      <c r="J560" s="24">
        <f t="shared" si="55"/>
        <v>12</v>
      </c>
      <c r="K560" s="17">
        <f t="shared" ref="K560:K623" si="57">I560-J560+1</f>
        <v>-23</v>
      </c>
      <c r="M560" s="15">
        <f t="shared" ref="M560:M623" ca="1" si="58">OFFSET($P$27,-I560,0)</f>
        <v>0</v>
      </c>
      <c r="N560" s="15">
        <f t="shared" ref="N560:N623" ca="1" si="59">OFFSET($P$27,-J560,0)</f>
        <v>38383</v>
      </c>
      <c r="Z560" s="1"/>
    </row>
    <row r="561" spans="3:26" x14ac:dyDescent="0.2">
      <c r="C561" s="39"/>
      <c r="D561" s="39"/>
      <c r="E561" s="38">
        <f>[2]!expavg($T$9:$T$26,$R$9:$R$26,K561,H561)</f>
        <v>0.68957279758642287</v>
      </c>
      <c r="F561" s="38" t="str">
        <f>[2]!expavg2($T$9:$T$26,I561,J561,$R$9:$R$26)</f>
        <v>ERROR: Please use BegPeriod &gt;= 1.</v>
      </c>
      <c r="H561" s="2">
        <f t="shared" si="56"/>
        <v>10</v>
      </c>
      <c r="I561" s="24">
        <f t="shared" si="54"/>
        <v>-12</v>
      </c>
      <c r="J561" s="24">
        <f t="shared" si="55"/>
        <v>11</v>
      </c>
      <c r="K561" s="17">
        <f t="shared" si="57"/>
        <v>-22</v>
      </c>
      <c r="M561" s="15">
        <f t="shared" ca="1" si="58"/>
        <v>0</v>
      </c>
      <c r="N561" s="15">
        <f t="shared" ca="1" si="59"/>
        <v>38748</v>
      </c>
      <c r="Z561" s="1"/>
    </row>
    <row r="562" spans="3:26" x14ac:dyDescent="0.2">
      <c r="C562" s="39"/>
      <c r="D562" s="39"/>
      <c r="E562" s="38">
        <f>[2]!expavg($T$9:$T$26,$R$9:$R$26,K562,H562)</f>
        <v>0.67160897630855276</v>
      </c>
      <c r="F562" s="38" t="str">
        <f>[2]!expavg2($T$9:$T$26,I562,J562,$R$9:$R$26)</f>
        <v>ERROR: Please use BegPeriod &gt;= 1.</v>
      </c>
      <c r="H562" s="2">
        <f t="shared" si="56"/>
        <v>9</v>
      </c>
      <c r="I562" s="24">
        <f t="shared" si="54"/>
        <v>-12</v>
      </c>
      <c r="J562" s="24">
        <f t="shared" si="55"/>
        <v>10</v>
      </c>
      <c r="K562" s="17">
        <f t="shared" si="57"/>
        <v>-21</v>
      </c>
      <c r="M562" s="15">
        <f t="shared" ca="1" si="58"/>
        <v>0</v>
      </c>
      <c r="N562" s="15">
        <f t="shared" ca="1" si="59"/>
        <v>39113</v>
      </c>
      <c r="Z562" s="1"/>
    </row>
    <row r="563" spans="3:26" x14ac:dyDescent="0.2">
      <c r="C563" s="39"/>
      <c r="D563" s="39"/>
      <c r="E563" s="38">
        <f>[2]!expavg($T$9:$T$26,$R$9:$R$26,K563,H563)</f>
        <v>0.66527157980250695</v>
      </c>
      <c r="F563" s="38" t="str">
        <f>[2]!expavg2($T$9:$T$26,I563,J563,$R$9:$R$26)</f>
        <v>ERROR: Please use BegPeriod &gt;= 1.</v>
      </c>
      <c r="H563" s="2">
        <f t="shared" si="56"/>
        <v>8</v>
      </c>
      <c r="I563" s="24">
        <f t="shared" si="54"/>
        <v>-12</v>
      </c>
      <c r="J563" s="24">
        <f t="shared" si="55"/>
        <v>9</v>
      </c>
      <c r="K563" s="17">
        <f t="shared" si="57"/>
        <v>-20</v>
      </c>
      <c r="M563" s="15">
        <f t="shared" ca="1" si="58"/>
        <v>0</v>
      </c>
      <c r="N563" s="15">
        <f t="shared" ca="1" si="59"/>
        <v>39478</v>
      </c>
      <c r="Z563" s="1"/>
    </row>
    <row r="564" spans="3:26" x14ac:dyDescent="0.2">
      <c r="C564" s="39"/>
      <c r="D564" s="39"/>
      <c r="E564" s="38">
        <f>[2]!expavg($T$9:$T$26,$R$9:$R$26,K564,H564)</f>
        <v>0.68450987024306864</v>
      </c>
      <c r="F564" s="38" t="str">
        <f>[2]!expavg2($T$9:$T$26,I564,J564,$R$9:$R$26)</f>
        <v>ERROR: Please use BegPeriod &gt;= 1.</v>
      </c>
      <c r="H564" s="2">
        <f t="shared" si="56"/>
        <v>7</v>
      </c>
      <c r="I564" s="24">
        <f t="shared" ref="I564:I627" si="60">I547-1</f>
        <v>-12</v>
      </c>
      <c r="J564" s="24">
        <f t="shared" ref="J564:J627" si="61">J547</f>
        <v>8</v>
      </c>
      <c r="K564" s="17">
        <f t="shared" si="57"/>
        <v>-19</v>
      </c>
      <c r="M564" s="15">
        <f t="shared" ca="1" si="58"/>
        <v>0</v>
      </c>
      <c r="N564" s="15">
        <f t="shared" ca="1" si="59"/>
        <v>39844</v>
      </c>
      <c r="Z564" s="1"/>
    </row>
    <row r="565" spans="3:26" x14ac:dyDescent="0.2">
      <c r="C565" s="39"/>
      <c r="D565" s="39"/>
      <c r="E565" s="38">
        <f>[2]!expavg($T$9:$T$26,$R$9:$R$26,K565,H565)</f>
        <v>0.67627397338659268</v>
      </c>
      <c r="F565" s="38" t="str">
        <f>[2]!expavg2($T$9:$T$26,I565,J565,$R$9:$R$26)</f>
        <v>ERROR: Please use BegPeriod &gt;= 1.</v>
      </c>
      <c r="H565" s="2">
        <f t="shared" si="56"/>
        <v>6</v>
      </c>
      <c r="I565" s="24">
        <f t="shared" si="60"/>
        <v>-12</v>
      </c>
      <c r="J565" s="24">
        <f t="shared" si="61"/>
        <v>7</v>
      </c>
      <c r="K565" s="17">
        <f t="shared" si="57"/>
        <v>-18</v>
      </c>
      <c r="M565" s="15">
        <f t="shared" ca="1" si="58"/>
        <v>0</v>
      </c>
      <c r="N565" s="15">
        <f t="shared" ca="1" si="59"/>
        <v>40209</v>
      </c>
      <c r="Z565" s="1"/>
    </row>
    <row r="566" spans="3:26" x14ac:dyDescent="0.2">
      <c r="C566" s="39"/>
      <c r="D566" s="39"/>
      <c r="E566" s="38">
        <f>[2]!expavg($T$9:$T$26,$R$9:$R$26,K566,H566)</f>
        <v>0.66006899259190965</v>
      </c>
      <c r="F566" s="38" t="str">
        <f>[2]!expavg2($T$9:$T$26,I566,J566,$R$9:$R$26)</f>
        <v>ERROR: Please use BegPeriod &gt;= 1.</v>
      </c>
      <c r="H566" s="2">
        <f t="shared" si="56"/>
        <v>5</v>
      </c>
      <c r="I566" s="24">
        <f t="shared" si="60"/>
        <v>-12</v>
      </c>
      <c r="J566" s="24">
        <f t="shared" si="61"/>
        <v>6</v>
      </c>
      <c r="K566" s="17">
        <f t="shared" si="57"/>
        <v>-17</v>
      </c>
      <c r="M566" s="15">
        <f t="shared" ca="1" si="58"/>
        <v>0</v>
      </c>
      <c r="N566" s="15">
        <f t="shared" ca="1" si="59"/>
        <v>40574</v>
      </c>
      <c r="Z566" s="1"/>
    </row>
    <row r="567" spans="3:26" x14ac:dyDescent="0.2">
      <c r="C567" s="39"/>
      <c r="D567" s="39"/>
      <c r="E567" s="38">
        <f>[2]!expavg($T$9:$T$26,$R$9:$R$26,K567,H567)</f>
        <v>0.64048216018789683</v>
      </c>
      <c r="F567" s="38" t="str">
        <f>[2]!expavg2($T$9:$T$26,I567,J567,$R$9:$R$26)</f>
        <v>ERROR: Please use BegPeriod &gt;= 1.</v>
      </c>
      <c r="H567" s="2">
        <f t="shared" si="56"/>
        <v>4</v>
      </c>
      <c r="I567" s="24">
        <f t="shared" si="60"/>
        <v>-12</v>
      </c>
      <c r="J567" s="24">
        <f t="shared" si="61"/>
        <v>5</v>
      </c>
      <c r="K567" s="17">
        <f t="shared" si="57"/>
        <v>-16</v>
      </c>
      <c r="M567" s="15">
        <f t="shared" ca="1" si="58"/>
        <v>0</v>
      </c>
      <c r="N567" s="15">
        <f t="shared" ca="1" si="59"/>
        <v>40939</v>
      </c>
      <c r="Z567" s="1"/>
    </row>
    <row r="568" spans="3:26" x14ac:dyDescent="0.2">
      <c r="C568" s="39"/>
      <c r="D568" s="39"/>
      <c r="E568" s="38">
        <f>[2]!expavg($T$9:$T$26,$R$9:$R$26,K568,H568)</f>
        <v>0.62815488340610859</v>
      </c>
      <c r="F568" s="38" t="str">
        <f>[2]!expavg2($T$9:$T$26,I568,J568,$R$9:$R$26)</f>
        <v>ERROR: Please use BegPeriod &gt;= 1.</v>
      </c>
      <c r="H568" s="2">
        <f t="shared" si="56"/>
        <v>3</v>
      </c>
      <c r="I568" s="24">
        <f t="shared" si="60"/>
        <v>-12</v>
      </c>
      <c r="J568" s="24">
        <f t="shared" si="61"/>
        <v>4</v>
      </c>
      <c r="K568" s="17">
        <f t="shared" si="57"/>
        <v>-15</v>
      </c>
      <c r="M568" s="15">
        <f t="shared" ca="1" si="58"/>
        <v>0</v>
      </c>
      <c r="N568" s="15">
        <f t="shared" ca="1" si="59"/>
        <v>41305</v>
      </c>
      <c r="Z568" s="1"/>
    </row>
    <row r="569" spans="3:26" x14ac:dyDescent="0.2">
      <c r="C569" s="39"/>
      <c r="D569" s="39"/>
      <c r="E569" s="38">
        <f>[2]!expavg($T$9:$T$26,$R$9:$R$26,K569,H569)</f>
        <v>0.62040838094689943</v>
      </c>
      <c r="F569" s="38" t="str">
        <f>[2]!expavg2($T$9:$T$26,I569,J569,$R$9:$R$26)</f>
        <v>ERROR: Please use BegPeriod &gt;= 1.</v>
      </c>
      <c r="H569" s="2">
        <f t="shared" si="56"/>
        <v>2</v>
      </c>
      <c r="I569" s="24">
        <f t="shared" si="60"/>
        <v>-12</v>
      </c>
      <c r="J569" s="24">
        <f t="shared" si="61"/>
        <v>3</v>
      </c>
      <c r="K569" s="17">
        <f t="shared" si="57"/>
        <v>-14</v>
      </c>
      <c r="M569" s="15">
        <f t="shared" ca="1" si="58"/>
        <v>0</v>
      </c>
      <c r="N569" s="15">
        <f t="shared" ca="1" si="59"/>
        <v>41670</v>
      </c>
      <c r="Z569" s="1"/>
    </row>
    <row r="570" spans="3:26" x14ac:dyDescent="0.2">
      <c r="C570" s="39"/>
      <c r="D570" s="39"/>
      <c r="E570" s="38">
        <f>[2]!expavg($T$9:$T$26,$R$9:$R$26,K570,H570)</f>
        <v>0.60752408974439076</v>
      </c>
      <c r="F570" s="38" t="str">
        <f>[2]!expavg2($T$9:$T$26,I570,J570,$R$9:$R$26)</f>
        <v>ERROR: Please use BegPeriod &gt;= 1.</v>
      </c>
      <c r="H570" s="2">
        <f t="shared" si="56"/>
        <v>1</v>
      </c>
      <c r="I570" s="24">
        <f t="shared" si="60"/>
        <v>-12</v>
      </c>
      <c r="J570" s="24">
        <f t="shared" si="61"/>
        <v>2</v>
      </c>
      <c r="K570" s="17">
        <f t="shared" si="57"/>
        <v>-13</v>
      </c>
      <c r="M570" s="15">
        <f t="shared" ca="1" si="58"/>
        <v>0</v>
      </c>
      <c r="N570" s="15">
        <f t="shared" ca="1" si="59"/>
        <v>42035</v>
      </c>
      <c r="Z570" s="1"/>
    </row>
    <row r="571" spans="3:26" x14ac:dyDescent="0.2">
      <c r="C571" s="39"/>
      <c r="D571" s="39"/>
      <c r="E571" s="38">
        <f>[2]!expavg($T$9:$T$26,$R$9:$R$26,K571,H571)</f>
        <v>0.60472044954610527</v>
      </c>
      <c r="F571" s="38" t="str">
        <f>[2]!expavg2($T$9:$T$26,I571,J571,$R$9:$R$26)</f>
        <v>ERROR: Please use BegPeriod &gt;= 1.</v>
      </c>
      <c r="H571" s="2">
        <f t="shared" si="56"/>
        <v>0</v>
      </c>
      <c r="I571" s="24">
        <f t="shared" si="60"/>
        <v>-12</v>
      </c>
      <c r="J571" s="24">
        <f t="shared" si="61"/>
        <v>1</v>
      </c>
      <c r="K571" s="17">
        <f t="shared" si="57"/>
        <v>-12</v>
      </c>
      <c r="M571" s="15">
        <f t="shared" ca="1" si="58"/>
        <v>0</v>
      </c>
      <c r="N571" s="15">
        <f t="shared" ca="1" si="59"/>
        <v>42400</v>
      </c>
      <c r="Z571" s="1"/>
    </row>
    <row r="572" spans="3:26" x14ac:dyDescent="0.2">
      <c r="C572" s="39"/>
      <c r="D572" s="39"/>
      <c r="E572" s="38">
        <f>[2]!expavg($T$9:$T$26,$R$9:$R$26,K572,H572)</f>
        <v>0.60472044954610527</v>
      </c>
      <c r="F572" s="38" t="str">
        <f>[2]!expavg2($T$9:$T$26,I572,J572,$R$9:$R$26)</f>
        <v>ERROR: Please use BegPeriod &gt;= 1.</v>
      </c>
      <c r="H572" s="2">
        <f t="shared" si="56"/>
        <v>-1</v>
      </c>
      <c r="I572" s="24">
        <f t="shared" si="60"/>
        <v>-12</v>
      </c>
      <c r="J572" s="24">
        <f t="shared" si="61"/>
        <v>0</v>
      </c>
      <c r="K572" s="17">
        <f t="shared" si="57"/>
        <v>-11</v>
      </c>
      <c r="M572" s="15">
        <f t="shared" ca="1" si="58"/>
        <v>0</v>
      </c>
      <c r="N572" s="15">
        <f t="shared" ca="1" si="59"/>
        <v>0</v>
      </c>
      <c r="Z572" s="1"/>
    </row>
    <row r="573" spans="3:26" x14ac:dyDescent="0.2">
      <c r="C573" s="39"/>
      <c r="D573" s="39"/>
      <c r="E573" s="38">
        <f>[2]!expavg($T$9:$T$26,$R$9:$R$26,K573,H573)</f>
        <v>0.60472044954610527</v>
      </c>
      <c r="F573" s="38" t="str">
        <f>[2]!expavg2($T$9:$T$26,I573,J573,$R$9:$R$26)</f>
        <v>ERROR: Please use BegPeriod &gt;= 1.</v>
      </c>
      <c r="H573" s="2">
        <f t="shared" si="56"/>
        <v>-2</v>
      </c>
      <c r="I573" s="24">
        <f t="shared" si="60"/>
        <v>-12</v>
      </c>
      <c r="J573" s="24">
        <f t="shared" si="61"/>
        <v>-1</v>
      </c>
      <c r="K573" s="17">
        <f t="shared" si="57"/>
        <v>-10</v>
      </c>
      <c r="M573" s="15">
        <f t="shared" ca="1" si="58"/>
        <v>0</v>
      </c>
      <c r="N573" s="15">
        <f t="shared" ca="1" si="59"/>
        <v>0</v>
      </c>
      <c r="Z573" s="1"/>
    </row>
    <row r="574" spans="3:26" x14ac:dyDescent="0.2">
      <c r="C574" s="39"/>
      <c r="D574" s="39"/>
      <c r="E574" s="38">
        <f>[2]!expavg($T$9:$T$26,$R$9:$R$26,K574,H574)</f>
        <v>0.70939186407915755</v>
      </c>
      <c r="F574" s="38" t="str">
        <f>[2]!expavg2($T$9:$T$26,I574,J574,$R$9:$R$26)</f>
        <v>ERROR: Please use BegPeriod &gt;= 1.</v>
      </c>
      <c r="H574" s="2">
        <f t="shared" si="56"/>
        <v>14</v>
      </c>
      <c r="I574" s="24">
        <f t="shared" si="60"/>
        <v>-13</v>
      </c>
      <c r="J574" s="24">
        <f t="shared" si="61"/>
        <v>15</v>
      </c>
      <c r="K574" s="17">
        <f t="shared" si="57"/>
        <v>-27</v>
      </c>
      <c r="M574" s="15">
        <f t="shared" ca="1" si="58"/>
        <v>0</v>
      </c>
      <c r="N574" s="15">
        <f t="shared" ca="1" si="59"/>
        <v>37287</v>
      </c>
      <c r="Z574" s="1"/>
    </row>
    <row r="575" spans="3:26" x14ac:dyDescent="0.2">
      <c r="C575" s="39"/>
      <c r="D575" s="39"/>
      <c r="E575" s="38">
        <f>[2]!expavg($T$9:$T$26,$R$9:$R$26,K575,H575)</f>
        <v>0.67177139323204882</v>
      </c>
      <c r="F575" s="38" t="str">
        <f>[2]!expavg2($T$9:$T$26,I575,J575,$R$9:$R$26)</f>
        <v>ERROR: Please use BegPeriod &gt;= 1.</v>
      </c>
      <c r="H575" s="2">
        <f t="shared" si="56"/>
        <v>13</v>
      </c>
      <c r="I575" s="24">
        <f t="shared" si="60"/>
        <v>-13</v>
      </c>
      <c r="J575" s="24">
        <f t="shared" si="61"/>
        <v>14</v>
      </c>
      <c r="K575" s="17">
        <f t="shared" si="57"/>
        <v>-26</v>
      </c>
      <c r="M575" s="15">
        <f t="shared" ca="1" si="58"/>
        <v>0</v>
      </c>
      <c r="N575" s="15">
        <f t="shared" ca="1" si="59"/>
        <v>37652</v>
      </c>
      <c r="Z575" s="1"/>
    </row>
    <row r="576" spans="3:26" x14ac:dyDescent="0.2">
      <c r="C576" s="39"/>
      <c r="D576" s="39"/>
      <c r="E576" s="38">
        <f>[2]!expavg($T$9:$T$26,$R$9:$R$26,K576,H576)</f>
        <v>0.66945167850810816</v>
      </c>
      <c r="F576" s="38" t="str">
        <f>[2]!expavg2($T$9:$T$26,I576,J576,$R$9:$R$26)</f>
        <v>ERROR: Please use BegPeriod &gt;= 1.</v>
      </c>
      <c r="H576" s="2">
        <f t="shared" si="56"/>
        <v>12</v>
      </c>
      <c r="I576" s="24">
        <f t="shared" si="60"/>
        <v>-13</v>
      </c>
      <c r="J576" s="24">
        <f t="shared" si="61"/>
        <v>13</v>
      </c>
      <c r="K576" s="17">
        <f t="shared" si="57"/>
        <v>-25</v>
      </c>
      <c r="M576" s="15">
        <f t="shared" ca="1" si="58"/>
        <v>0</v>
      </c>
      <c r="N576" s="15">
        <f t="shared" ca="1" si="59"/>
        <v>38017</v>
      </c>
      <c r="Z576" s="1"/>
    </row>
    <row r="577" spans="3:26" x14ac:dyDescent="0.2">
      <c r="C577" s="39"/>
      <c r="D577" s="39"/>
      <c r="E577" s="38">
        <f>[2]!expavg($T$9:$T$26,$R$9:$R$26,K577,H577)</f>
        <v>0.67904388723605558</v>
      </c>
      <c r="F577" s="38" t="str">
        <f>[2]!expavg2($T$9:$T$26,I577,J577,$R$9:$R$26)</f>
        <v>ERROR: Please use BegPeriod &gt;= 1.</v>
      </c>
      <c r="H577" s="2">
        <f t="shared" si="56"/>
        <v>11</v>
      </c>
      <c r="I577" s="24">
        <f t="shared" si="60"/>
        <v>-13</v>
      </c>
      <c r="J577" s="24">
        <f t="shared" si="61"/>
        <v>12</v>
      </c>
      <c r="K577" s="17">
        <f t="shared" si="57"/>
        <v>-24</v>
      </c>
      <c r="M577" s="15">
        <f t="shared" ca="1" si="58"/>
        <v>0</v>
      </c>
      <c r="N577" s="15">
        <f t="shared" ca="1" si="59"/>
        <v>38383</v>
      </c>
      <c r="Z577" s="1"/>
    </row>
    <row r="578" spans="3:26" x14ac:dyDescent="0.2">
      <c r="C578" s="39"/>
      <c r="D578" s="39"/>
      <c r="E578" s="38">
        <f>[2]!expavg($T$9:$T$26,$R$9:$R$26,K578,H578)</f>
        <v>0.68957279758642287</v>
      </c>
      <c r="F578" s="38" t="str">
        <f>[2]!expavg2($T$9:$T$26,I578,J578,$R$9:$R$26)</f>
        <v>ERROR: Please use BegPeriod &gt;= 1.</v>
      </c>
      <c r="H578" s="2">
        <f t="shared" si="56"/>
        <v>10</v>
      </c>
      <c r="I578" s="24">
        <f t="shared" si="60"/>
        <v>-13</v>
      </c>
      <c r="J578" s="24">
        <f t="shared" si="61"/>
        <v>11</v>
      </c>
      <c r="K578" s="17">
        <f t="shared" si="57"/>
        <v>-23</v>
      </c>
      <c r="M578" s="15">
        <f t="shared" ca="1" si="58"/>
        <v>0</v>
      </c>
      <c r="N578" s="15">
        <f t="shared" ca="1" si="59"/>
        <v>38748</v>
      </c>
      <c r="Z578" s="1"/>
    </row>
    <row r="579" spans="3:26" x14ac:dyDescent="0.2">
      <c r="C579" s="39"/>
      <c r="D579" s="39"/>
      <c r="E579" s="38">
        <f>[2]!expavg($T$9:$T$26,$R$9:$R$26,K579,H579)</f>
        <v>0.67160897630855276</v>
      </c>
      <c r="F579" s="38" t="str">
        <f>[2]!expavg2($T$9:$T$26,I579,J579,$R$9:$R$26)</f>
        <v>ERROR: Please use BegPeriod &gt;= 1.</v>
      </c>
      <c r="H579" s="2">
        <f t="shared" si="56"/>
        <v>9</v>
      </c>
      <c r="I579" s="24">
        <f t="shared" si="60"/>
        <v>-13</v>
      </c>
      <c r="J579" s="24">
        <f t="shared" si="61"/>
        <v>10</v>
      </c>
      <c r="K579" s="17">
        <f t="shared" si="57"/>
        <v>-22</v>
      </c>
      <c r="M579" s="15">
        <f t="shared" ca="1" si="58"/>
        <v>0</v>
      </c>
      <c r="N579" s="15">
        <f t="shared" ca="1" si="59"/>
        <v>39113</v>
      </c>
      <c r="Z579" s="1"/>
    </row>
    <row r="580" spans="3:26" x14ac:dyDescent="0.2">
      <c r="C580" s="39"/>
      <c r="D580" s="39"/>
      <c r="E580" s="38">
        <f>[2]!expavg($T$9:$T$26,$R$9:$R$26,K580,H580)</f>
        <v>0.66527157980250695</v>
      </c>
      <c r="F580" s="38" t="str">
        <f>[2]!expavg2($T$9:$T$26,I580,J580,$R$9:$R$26)</f>
        <v>ERROR: Please use BegPeriod &gt;= 1.</v>
      </c>
      <c r="H580" s="2">
        <f t="shared" si="56"/>
        <v>8</v>
      </c>
      <c r="I580" s="24">
        <f t="shared" si="60"/>
        <v>-13</v>
      </c>
      <c r="J580" s="24">
        <f t="shared" si="61"/>
        <v>9</v>
      </c>
      <c r="K580" s="17">
        <f t="shared" si="57"/>
        <v>-21</v>
      </c>
      <c r="M580" s="15">
        <f t="shared" ca="1" si="58"/>
        <v>0</v>
      </c>
      <c r="N580" s="15">
        <f t="shared" ca="1" si="59"/>
        <v>39478</v>
      </c>
      <c r="Z580" s="1"/>
    </row>
    <row r="581" spans="3:26" x14ac:dyDescent="0.2">
      <c r="C581" s="39"/>
      <c r="D581" s="39"/>
      <c r="E581" s="38">
        <f>[2]!expavg($T$9:$T$26,$R$9:$R$26,K581,H581)</f>
        <v>0.68450987024306864</v>
      </c>
      <c r="F581" s="38" t="str">
        <f>[2]!expavg2($T$9:$T$26,I581,J581,$R$9:$R$26)</f>
        <v>ERROR: Please use BegPeriod &gt;= 1.</v>
      </c>
      <c r="H581" s="2">
        <f t="shared" si="56"/>
        <v>7</v>
      </c>
      <c r="I581" s="24">
        <f t="shared" si="60"/>
        <v>-13</v>
      </c>
      <c r="J581" s="24">
        <f t="shared" si="61"/>
        <v>8</v>
      </c>
      <c r="K581" s="17">
        <f t="shared" si="57"/>
        <v>-20</v>
      </c>
      <c r="M581" s="15">
        <f t="shared" ca="1" si="58"/>
        <v>0</v>
      </c>
      <c r="N581" s="15">
        <f t="shared" ca="1" si="59"/>
        <v>39844</v>
      </c>
      <c r="Z581" s="1"/>
    </row>
    <row r="582" spans="3:26" x14ac:dyDescent="0.2">
      <c r="C582" s="39"/>
      <c r="D582" s="39"/>
      <c r="E582" s="38">
        <f>[2]!expavg($T$9:$T$26,$R$9:$R$26,K582,H582)</f>
        <v>0.67627397338659268</v>
      </c>
      <c r="F582" s="38" t="str">
        <f>[2]!expavg2($T$9:$T$26,I582,J582,$R$9:$R$26)</f>
        <v>ERROR: Please use BegPeriod &gt;= 1.</v>
      </c>
      <c r="H582" s="2">
        <f t="shared" si="56"/>
        <v>6</v>
      </c>
      <c r="I582" s="24">
        <f t="shared" si="60"/>
        <v>-13</v>
      </c>
      <c r="J582" s="24">
        <f t="shared" si="61"/>
        <v>7</v>
      </c>
      <c r="K582" s="17">
        <f t="shared" si="57"/>
        <v>-19</v>
      </c>
      <c r="M582" s="15">
        <f t="shared" ca="1" si="58"/>
        <v>0</v>
      </c>
      <c r="N582" s="15">
        <f t="shared" ca="1" si="59"/>
        <v>40209</v>
      </c>
      <c r="Z582" s="1"/>
    </row>
    <row r="583" spans="3:26" x14ac:dyDescent="0.2">
      <c r="C583" s="39"/>
      <c r="D583" s="39"/>
      <c r="E583" s="38">
        <f>[2]!expavg($T$9:$T$26,$R$9:$R$26,K583,H583)</f>
        <v>0.66006899259190965</v>
      </c>
      <c r="F583" s="38" t="str">
        <f>[2]!expavg2($T$9:$T$26,I583,J583,$R$9:$R$26)</f>
        <v>ERROR: Please use BegPeriod &gt;= 1.</v>
      </c>
      <c r="H583" s="2">
        <f t="shared" si="56"/>
        <v>5</v>
      </c>
      <c r="I583" s="24">
        <f t="shared" si="60"/>
        <v>-13</v>
      </c>
      <c r="J583" s="24">
        <f t="shared" si="61"/>
        <v>6</v>
      </c>
      <c r="K583" s="17">
        <f t="shared" si="57"/>
        <v>-18</v>
      </c>
      <c r="M583" s="15">
        <f t="shared" ca="1" si="58"/>
        <v>0</v>
      </c>
      <c r="N583" s="15">
        <f t="shared" ca="1" si="59"/>
        <v>40574</v>
      </c>
      <c r="Z583" s="1"/>
    </row>
    <row r="584" spans="3:26" x14ac:dyDescent="0.2">
      <c r="C584" s="39"/>
      <c r="D584" s="39"/>
      <c r="E584" s="38">
        <f>[2]!expavg($T$9:$T$26,$R$9:$R$26,K584,H584)</f>
        <v>0.64048216018789683</v>
      </c>
      <c r="F584" s="38" t="str">
        <f>[2]!expavg2($T$9:$T$26,I584,J584,$R$9:$R$26)</f>
        <v>ERROR: Please use BegPeriod &gt;= 1.</v>
      </c>
      <c r="H584" s="2">
        <f t="shared" si="56"/>
        <v>4</v>
      </c>
      <c r="I584" s="24">
        <f t="shared" si="60"/>
        <v>-13</v>
      </c>
      <c r="J584" s="24">
        <f t="shared" si="61"/>
        <v>5</v>
      </c>
      <c r="K584" s="17">
        <f t="shared" si="57"/>
        <v>-17</v>
      </c>
      <c r="M584" s="15">
        <f t="shared" ca="1" si="58"/>
        <v>0</v>
      </c>
      <c r="N584" s="15">
        <f t="shared" ca="1" si="59"/>
        <v>40939</v>
      </c>
      <c r="Z584" s="1"/>
    </row>
    <row r="585" spans="3:26" x14ac:dyDescent="0.2">
      <c r="C585" s="39"/>
      <c r="D585" s="39"/>
      <c r="E585" s="38">
        <f>[2]!expavg($T$9:$T$26,$R$9:$R$26,K585,H585)</f>
        <v>0.62815488340610859</v>
      </c>
      <c r="F585" s="38" t="str">
        <f>[2]!expavg2($T$9:$T$26,I585,J585,$R$9:$R$26)</f>
        <v>ERROR: Please use BegPeriod &gt;= 1.</v>
      </c>
      <c r="H585" s="2">
        <f t="shared" si="56"/>
        <v>3</v>
      </c>
      <c r="I585" s="24">
        <f t="shared" si="60"/>
        <v>-13</v>
      </c>
      <c r="J585" s="24">
        <f t="shared" si="61"/>
        <v>4</v>
      </c>
      <c r="K585" s="17">
        <f t="shared" si="57"/>
        <v>-16</v>
      </c>
      <c r="M585" s="15">
        <f t="shared" ca="1" si="58"/>
        <v>0</v>
      </c>
      <c r="N585" s="15">
        <f t="shared" ca="1" si="59"/>
        <v>41305</v>
      </c>
      <c r="Z585" s="1"/>
    </row>
    <row r="586" spans="3:26" x14ac:dyDescent="0.2">
      <c r="C586" s="39"/>
      <c r="D586" s="39"/>
      <c r="E586" s="38">
        <f>[2]!expavg($T$9:$T$26,$R$9:$R$26,K586,H586)</f>
        <v>0.62040838094689943</v>
      </c>
      <c r="F586" s="38" t="str">
        <f>[2]!expavg2($T$9:$T$26,I586,J586,$R$9:$R$26)</f>
        <v>ERROR: Please use BegPeriod &gt;= 1.</v>
      </c>
      <c r="H586" s="2">
        <f t="shared" si="56"/>
        <v>2</v>
      </c>
      <c r="I586" s="24">
        <f t="shared" si="60"/>
        <v>-13</v>
      </c>
      <c r="J586" s="24">
        <f t="shared" si="61"/>
        <v>3</v>
      </c>
      <c r="K586" s="17">
        <f t="shared" si="57"/>
        <v>-15</v>
      </c>
      <c r="M586" s="15">
        <f t="shared" ca="1" si="58"/>
        <v>0</v>
      </c>
      <c r="N586" s="15">
        <f t="shared" ca="1" si="59"/>
        <v>41670</v>
      </c>
      <c r="Z586" s="1"/>
    </row>
    <row r="587" spans="3:26" x14ac:dyDescent="0.2">
      <c r="C587" s="39"/>
      <c r="D587" s="39"/>
      <c r="E587" s="38">
        <f>[2]!expavg($T$9:$T$26,$R$9:$R$26,K587,H587)</f>
        <v>0.60752408974439076</v>
      </c>
      <c r="F587" s="38" t="str">
        <f>[2]!expavg2($T$9:$T$26,I587,J587,$R$9:$R$26)</f>
        <v>ERROR: Please use BegPeriod &gt;= 1.</v>
      </c>
      <c r="H587" s="2">
        <f t="shared" si="56"/>
        <v>1</v>
      </c>
      <c r="I587" s="24">
        <f t="shared" si="60"/>
        <v>-13</v>
      </c>
      <c r="J587" s="24">
        <f t="shared" si="61"/>
        <v>2</v>
      </c>
      <c r="K587" s="17">
        <f t="shared" si="57"/>
        <v>-14</v>
      </c>
      <c r="M587" s="15">
        <f t="shared" ca="1" si="58"/>
        <v>0</v>
      </c>
      <c r="N587" s="15">
        <f t="shared" ca="1" si="59"/>
        <v>42035</v>
      </c>
      <c r="Z587" s="1"/>
    </row>
    <row r="588" spans="3:26" x14ac:dyDescent="0.2">
      <c r="C588" s="39"/>
      <c r="D588" s="39"/>
      <c r="E588" s="38">
        <f>[2]!expavg($T$9:$T$26,$R$9:$R$26,K588,H588)</f>
        <v>0.60472044954610527</v>
      </c>
      <c r="F588" s="38" t="str">
        <f>[2]!expavg2($T$9:$T$26,I588,J588,$R$9:$R$26)</f>
        <v>ERROR: Please use BegPeriod &gt;= 1.</v>
      </c>
      <c r="H588" s="2">
        <f t="shared" si="56"/>
        <v>0</v>
      </c>
      <c r="I588" s="24">
        <f t="shared" si="60"/>
        <v>-13</v>
      </c>
      <c r="J588" s="24">
        <f t="shared" si="61"/>
        <v>1</v>
      </c>
      <c r="K588" s="17">
        <f t="shared" si="57"/>
        <v>-13</v>
      </c>
      <c r="M588" s="15">
        <f t="shared" ca="1" si="58"/>
        <v>0</v>
      </c>
      <c r="N588" s="15">
        <f t="shared" ca="1" si="59"/>
        <v>42400</v>
      </c>
      <c r="Z588" s="1"/>
    </row>
    <row r="589" spans="3:26" x14ac:dyDescent="0.2">
      <c r="C589" s="39"/>
      <c r="D589" s="39"/>
      <c r="E589" s="38">
        <f>[2]!expavg($T$9:$T$26,$R$9:$R$26,K589,H589)</f>
        <v>0.60472044954610527</v>
      </c>
      <c r="F589" s="38" t="str">
        <f>[2]!expavg2($T$9:$T$26,I589,J589,$R$9:$R$26)</f>
        <v>ERROR: Please use BegPeriod &gt;= 1.</v>
      </c>
      <c r="H589" s="2">
        <f t="shared" si="56"/>
        <v>-1</v>
      </c>
      <c r="I589" s="24">
        <f t="shared" si="60"/>
        <v>-13</v>
      </c>
      <c r="J589" s="24">
        <f t="shared" si="61"/>
        <v>0</v>
      </c>
      <c r="K589" s="17">
        <f t="shared" si="57"/>
        <v>-12</v>
      </c>
      <c r="M589" s="15">
        <f t="shared" ca="1" si="58"/>
        <v>0</v>
      </c>
      <c r="N589" s="15">
        <f t="shared" ca="1" si="59"/>
        <v>0</v>
      </c>
      <c r="Z589" s="1"/>
    </row>
    <row r="590" spans="3:26" x14ac:dyDescent="0.2">
      <c r="C590" s="39"/>
      <c r="D590" s="39"/>
      <c r="E590" s="38">
        <f>[2]!expavg($T$9:$T$26,$R$9:$R$26,K590,H590)</f>
        <v>0.60472044954610527</v>
      </c>
      <c r="F590" s="38" t="str">
        <f>[2]!expavg2($T$9:$T$26,I590,J590,$R$9:$R$26)</f>
        <v>ERROR: Please use BegPeriod &gt;= 1.</v>
      </c>
      <c r="H590" s="2">
        <f t="shared" si="56"/>
        <v>-2</v>
      </c>
      <c r="I590" s="24">
        <f t="shared" si="60"/>
        <v>-13</v>
      </c>
      <c r="J590" s="24">
        <f t="shared" si="61"/>
        <v>-1</v>
      </c>
      <c r="K590" s="17">
        <f t="shared" si="57"/>
        <v>-11</v>
      </c>
      <c r="M590" s="15">
        <f t="shared" ca="1" si="58"/>
        <v>0</v>
      </c>
      <c r="N590" s="15">
        <f t="shared" ca="1" si="59"/>
        <v>0</v>
      </c>
      <c r="Z590" s="1"/>
    </row>
    <row r="591" spans="3:26" x14ac:dyDescent="0.2">
      <c r="C591" s="39"/>
      <c r="D591" s="39"/>
      <c r="E591" s="38">
        <f>[2]!expavg($T$9:$T$26,$R$9:$R$26,K591,H591)</f>
        <v>0.70939186407915755</v>
      </c>
      <c r="F591" s="38" t="str">
        <f>[2]!expavg2($T$9:$T$26,I591,J591,$R$9:$R$26)</f>
        <v>ERROR: Please use BegPeriod &gt;= 1.</v>
      </c>
      <c r="H591" s="2">
        <f t="shared" si="56"/>
        <v>14</v>
      </c>
      <c r="I591" s="24">
        <f t="shared" si="60"/>
        <v>-14</v>
      </c>
      <c r="J591" s="24">
        <f t="shared" si="61"/>
        <v>15</v>
      </c>
      <c r="K591" s="17">
        <f t="shared" si="57"/>
        <v>-28</v>
      </c>
      <c r="M591" s="15">
        <f t="shared" ca="1" si="58"/>
        <v>0</v>
      </c>
      <c r="N591" s="15">
        <f t="shared" ca="1" si="59"/>
        <v>37287</v>
      </c>
      <c r="Z591" s="1"/>
    </row>
    <row r="592" spans="3:26" x14ac:dyDescent="0.2">
      <c r="C592" s="39"/>
      <c r="D592" s="39"/>
      <c r="E592" s="38">
        <f>[2]!expavg($T$9:$T$26,$R$9:$R$26,K592,H592)</f>
        <v>0.67177139323204882</v>
      </c>
      <c r="F592" s="38" t="str">
        <f>[2]!expavg2($T$9:$T$26,I592,J592,$R$9:$R$26)</f>
        <v>ERROR: Please use BegPeriod &gt;= 1.</v>
      </c>
      <c r="H592" s="2">
        <f t="shared" si="56"/>
        <v>13</v>
      </c>
      <c r="I592" s="24">
        <f t="shared" si="60"/>
        <v>-14</v>
      </c>
      <c r="J592" s="24">
        <f t="shared" si="61"/>
        <v>14</v>
      </c>
      <c r="K592" s="17">
        <f t="shared" si="57"/>
        <v>-27</v>
      </c>
      <c r="M592" s="15">
        <f t="shared" ca="1" si="58"/>
        <v>0</v>
      </c>
      <c r="N592" s="15">
        <f t="shared" ca="1" si="59"/>
        <v>37652</v>
      </c>
      <c r="Z592" s="1"/>
    </row>
    <row r="593" spans="3:26" x14ac:dyDescent="0.2">
      <c r="C593" s="39"/>
      <c r="D593" s="39"/>
      <c r="E593" s="38">
        <f>[2]!expavg($T$9:$T$26,$R$9:$R$26,K593,H593)</f>
        <v>0.66945167850810816</v>
      </c>
      <c r="F593" s="38" t="str">
        <f>[2]!expavg2($T$9:$T$26,I593,J593,$R$9:$R$26)</f>
        <v>ERROR: Please use BegPeriod &gt;= 1.</v>
      </c>
      <c r="H593" s="2">
        <f t="shared" si="56"/>
        <v>12</v>
      </c>
      <c r="I593" s="24">
        <f t="shared" si="60"/>
        <v>-14</v>
      </c>
      <c r="J593" s="24">
        <f t="shared" si="61"/>
        <v>13</v>
      </c>
      <c r="K593" s="17">
        <f t="shared" si="57"/>
        <v>-26</v>
      </c>
      <c r="M593" s="15">
        <f t="shared" ca="1" si="58"/>
        <v>0</v>
      </c>
      <c r="N593" s="15">
        <f t="shared" ca="1" si="59"/>
        <v>38017</v>
      </c>
      <c r="Z593" s="1"/>
    </row>
    <row r="594" spans="3:26" x14ac:dyDescent="0.2">
      <c r="C594" s="39"/>
      <c r="D594" s="39"/>
      <c r="E594" s="38">
        <f>[2]!expavg($T$9:$T$26,$R$9:$R$26,K594,H594)</f>
        <v>0.67904388723605558</v>
      </c>
      <c r="F594" s="38" t="str">
        <f>[2]!expavg2($T$9:$T$26,I594,J594,$R$9:$R$26)</f>
        <v>ERROR: Please use BegPeriod &gt;= 1.</v>
      </c>
      <c r="H594" s="2">
        <f t="shared" si="56"/>
        <v>11</v>
      </c>
      <c r="I594" s="24">
        <f t="shared" si="60"/>
        <v>-14</v>
      </c>
      <c r="J594" s="24">
        <f t="shared" si="61"/>
        <v>12</v>
      </c>
      <c r="K594" s="17">
        <f t="shared" si="57"/>
        <v>-25</v>
      </c>
      <c r="M594" s="15">
        <f t="shared" ca="1" si="58"/>
        <v>0</v>
      </c>
      <c r="N594" s="15">
        <f t="shared" ca="1" si="59"/>
        <v>38383</v>
      </c>
      <c r="Z594" s="1"/>
    </row>
    <row r="595" spans="3:26" x14ac:dyDescent="0.2">
      <c r="C595" s="39"/>
      <c r="D595" s="39"/>
      <c r="E595" s="38">
        <f>[2]!expavg($T$9:$T$26,$R$9:$R$26,K595,H595)</f>
        <v>0.68957279758642287</v>
      </c>
      <c r="F595" s="38" t="str">
        <f>[2]!expavg2($T$9:$T$26,I595,J595,$R$9:$R$26)</f>
        <v>ERROR: Please use BegPeriod &gt;= 1.</v>
      </c>
      <c r="H595" s="2">
        <f t="shared" si="56"/>
        <v>10</v>
      </c>
      <c r="I595" s="24">
        <f t="shared" si="60"/>
        <v>-14</v>
      </c>
      <c r="J595" s="24">
        <f t="shared" si="61"/>
        <v>11</v>
      </c>
      <c r="K595" s="17">
        <f t="shared" si="57"/>
        <v>-24</v>
      </c>
      <c r="M595" s="15">
        <f t="shared" ca="1" si="58"/>
        <v>0</v>
      </c>
      <c r="N595" s="15">
        <f t="shared" ca="1" si="59"/>
        <v>38748</v>
      </c>
      <c r="Z595" s="1"/>
    </row>
    <row r="596" spans="3:26" x14ac:dyDescent="0.2">
      <c r="C596" s="39"/>
      <c r="D596" s="39"/>
      <c r="E596" s="38">
        <f>[2]!expavg($T$9:$T$26,$R$9:$R$26,K596,H596)</f>
        <v>0.67160897630855276</v>
      </c>
      <c r="F596" s="38" t="str">
        <f>[2]!expavg2($T$9:$T$26,I596,J596,$R$9:$R$26)</f>
        <v>ERROR: Please use BegPeriod &gt;= 1.</v>
      </c>
      <c r="H596" s="2">
        <f t="shared" si="56"/>
        <v>9</v>
      </c>
      <c r="I596" s="24">
        <f t="shared" si="60"/>
        <v>-14</v>
      </c>
      <c r="J596" s="24">
        <f t="shared" si="61"/>
        <v>10</v>
      </c>
      <c r="K596" s="17">
        <f t="shared" si="57"/>
        <v>-23</v>
      </c>
      <c r="M596" s="15">
        <f t="shared" ca="1" si="58"/>
        <v>0</v>
      </c>
      <c r="N596" s="15">
        <f t="shared" ca="1" si="59"/>
        <v>39113</v>
      </c>
      <c r="Z596" s="1"/>
    </row>
    <row r="597" spans="3:26" x14ac:dyDescent="0.2">
      <c r="C597" s="39"/>
      <c r="D597" s="39"/>
      <c r="E597" s="38">
        <f>[2]!expavg($T$9:$T$26,$R$9:$R$26,K597,H597)</f>
        <v>0.66527157980250695</v>
      </c>
      <c r="F597" s="38" t="str">
        <f>[2]!expavg2($T$9:$T$26,I597,J597,$R$9:$R$26)</f>
        <v>ERROR: Please use BegPeriod &gt;= 1.</v>
      </c>
      <c r="H597" s="2">
        <f t="shared" si="56"/>
        <v>8</v>
      </c>
      <c r="I597" s="24">
        <f t="shared" si="60"/>
        <v>-14</v>
      </c>
      <c r="J597" s="24">
        <f t="shared" si="61"/>
        <v>9</v>
      </c>
      <c r="K597" s="17">
        <f t="shared" si="57"/>
        <v>-22</v>
      </c>
      <c r="M597" s="15">
        <f t="shared" ca="1" si="58"/>
        <v>0</v>
      </c>
      <c r="N597" s="15">
        <f t="shared" ca="1" si="59"/>
        <v>39478</v>
      </c>
      <c r="Z597" s="1"/>
    </row>
    <row r="598" spans="3:26" x14ac:dyDescent="0.2">
      <c r="C598" s="39"/>
      <c r="D598" s="39"/>
      <c r="E598" s="38">
        <f>[2]!expavg($T$9:$T$26,$R$9:$R$26,K598,H598)</f>
        <v>0.68450987024306864</v>
      </c>
      <c r="F598" s="38" t="str">
        <f>[2]!expavg2($T$9:$T$26,I598,J598,$R$9:$R$26)</f>
        <v>ERROR: Please use BegPeriod &gt;= 1.</v>
      </c>
      <c r="H598" s="2">
        <f t="shared" si="56"/>
        <v>7</v>
      </c>
      <c r="I598" s="24">
        <f t="shared" si="60"/>
        <v>-14</v>
      </c>
      <c r="J598" s="24">
        <f t="shared" si="61"/>
        <v>8</v>
      </c>
      <c r="K598" s="17">
        <f t="shared" si="57"/>
        <v>-21</v>
      </c>
      <c r="M598" s="15">
        <f t="shared" ca="1" si="58"/>
        <v>0</v>
      </c>
      <c r="N598" s="15">
        <f t="shared" ca="1" si="59"/>
        <v>39844</v>
      </c>
      <c r="Z598" s="1"/>
    </row>
    <row r="599" spans="3:26" x14ac:dyDescent="0.2">
      <c r="C599" s="39"/>
      <c r="D599" s="39"/>
      <c r="E599" s="38">
        <f>[2]!expavg($T$9:$T$26,$R$9:$R$26,K599,H599)</f>
        <v>0.67627397338659268</v>
      </c>
      <c r="F599" s="38" t="str">
        <f>[2]!expavg2($T$9:$T$26,I599,J599,$R$9:$R$26)</f>
        <v>ERROR: Please use BegPeriod &gt;= 1.</v>
      </c>
      <c r="H599" s="2">
        <f t="shared" si="56"/>
        <v>6</v>
      </c>
      <c r="I599" s="24">
        <f t="shared" si="60"/>
        <v>-14</v>
      </c>
      <c r="J599" s="24">
        <f t="shared" si="61"/>
        <v>7</v>
      </c>
      <c r="K599" s="17">
        <f t="shared" si="57"/>
        <v>-20</v>
      </c>
      <c r="M599" s="15">
        <f t="shared" ca="1" si="58"/>
        <v>0</v>
      </c>
      <c r="N599" s="15">
        <f t="shared" ca="1" si="59"/>
        <v>40209</v>
      </c>
      <c r="Z599" s="1"/>
    </row>
    <row r="600" spans="3:26" x14ac:dyDescent="0.2">
      <c r="C600" s="39"/>
      <c r="D600" s="39"/>
      <c r="E600" s="38">
        <f>[2]!expavg($T$9:$T$26,$R$9:$R$26,K600,H600)</f>
        <v>0.66006899259190965</v>
      </c>
      <c r="F600" s="38" t="str">
        <f>[2]!expavg2($T$9:$T$26,I600,J600,$R$9:$R$26)</f>
        <v>ERROR: Please use BegPeriod &gt;= 1.</v>
      </c>
      <c r="H600" s="2">
        <f t="shared" si="56"/>
        <v>5</v>
      </c>
      <c r="I600" s="24">
        <f t="shared" si="60"/>
        <v>-14</v>
      </c>
      <c r="J600" s="24">
        <f t="shared" si="61"/>
        <v>6</v>
      </c>
      <c r="K600" s="17">
        <f t="shared" si="57"/>
        <v>-19</v>
      </c>
      <c r="M600" s="15">
        <f t="shared" ca="1" si="58"/>
        <v>0</v>
      </c>
      <c r="N600" s="15">
        <f t="shared" ca="1" si="59"/>
        <v>40574</v>
      </c>
      <c r="Z600" s="1"/>
    </row>
    <row r="601" spans="3:26" x14ac:dyDescent="0.2">
      <c r="C601" s="39"/>
      <c r="D601" s="39"/>
      <c r="E601" s="38">
        <f>[2]!expavg($T$9:$T$26,$R$9:$R$26,K601,H601)</f>
        <v>0.64048216018789683</v>
      </c>
      <c r="F601" s="38" t="str">
        <f>[2]!expavg2($T$9:$T$26,I601,J601,$R$9:$R$26)</f>
        <v>ERROR: Please use BegPeriod &gt;= 1.</v>
      </c>
      <c r="H601" s="2">
        <f t="shared" si="56"/>
        <v>4</v>
      </c>
      <c r="I601" s="24">
        <f t="shared" si="60"/>
        <v>-14</v>
      </c>
      <c r="J601" s="24">
        <f t="shared" si="61"/>
        <v>5</v>
      </c>
      <c r="K601" s="17">
        <f t="shared" si="57"/>
        <v>-18</v>
      </c>
      <c r="M601" s="15">
        <f t="shared" ca="1" si="58"/>
        <v>0</v>
      </c>
      <c r="N601" s="15">
        <f t="shared" ca="1" si="59"/>
        <v>40939</v>
      </c>
      <c r="Z601" s="1"/>
    </row>
    <row r="602" spans="3:26" x14ac:dyDescent="0.2">
      <c r="C602" s="39"/>
      <c r="D602" s="39"/>
      <c r="E602" s="38">
        <f>[2]!expavg($T$9:$T$26,$R$9:$R$26,K602,H602)</f>
        <v>0.62815488340610859</v>
      </c>
      <c r="F602" s="38" t="str">
        <f>[2]!expavg2($T$9:$T$26,I602,J602,$R$9:$R$26)</f>
        <v>ERROR: Please use BegPeriod &gt;= 1.</v>
      </c>
      <c r="H602" s="2">
        <f t="shared" si="56"/>
        <v>3</v>
      </c>
      <c r="I602" s="24">
        <f t="shared" si="60"/>
        <v>-14</v>
      </c>
      <c r="J602" s="24">
        <f t="shared" si="61"/>
        <v>4</v>
      </c>
      <c r="K602" s="17">
        <f t="shared" si="57"/>
        <v>-17</v>
      </c>
      <c r="M602" s="15">
        <f t="shared" ca="1" si="58"/>
        <v>0</v>
      </c>
      <c r="N602" s="15">
        <f t="shared" ca="1" si="59"/>
        <v>41305</v>
      </c>
      <c r="Z602" s="1"/>
    </row>
    <row r="603" spans="3:26" x14ac:dyDescent="0.2">
      <c r="C603" s="39"/>
      <c r="D603" s="39"/>
      <c r="E603" s="38">
        <f>[2]!expavg($T$9:$T$26,$R$9:$R$26,K603,H603)</f>
        <v>0.62040838094689943</v>
      </c>
      <c r="F603" s="38" t="str">
        <f>[2]!expavg2($T$9:$T$26,I603,J603,$R$9:$R$26)</f>
        <v>ERROR: Please use BegPeriod &gt;= 1.</v>
      </c>
      <c r="H603" s="2">
        <f t="shared" si="56"/>
        <v>2</v>
      </c>
      <c r="I603" s="24">
        <f t="shared" si="60"/>
        <v>-14</v>
      </c>
      <c r="J603" s="24">
        <f t="shared" si="61"/>
        <v>3</v>
      </c>
      <c r="K603" s="17">
        <f t="shared" si="57"/>
        <v>-16</v>
      </c>
      <c r="M603" s="15">
        <f t="shared" ca="1" si="58"/>
        <v>0</v>
      </c>
      <c r="N603" s="15">
        <f t="shared" ca="1" si="59"/>
        <v>41670</v>
      </c>
      <c r="Z603" s="1"/>
    </row>
    <row r="604" spans="3:26" x14ac:dyDescent="0.2">
      <c r="C604" s="39"/>
      <c r="D604" s="39"/>
      <c r="E604" s="38">
        <f>[2]!expavg($T$9:$T$26,$R$9:$R$26,K604,H604)</f>
        <v>0.60752408974439076</v>
      </c>
      <c r="F604" s="38" t="str">
        <f>[2]!expavg2($T$9:$T$26,I604,J604,$R$9:$R$26)</f>
        <v>ERROR: Please use BegPeriod &gt;= 1.</v>
      </c>
      <c r="H604" s="2">
        <f t="shared" si="56"/>
        <v>1</v>
      </c>
      <c r="I604" s="24">
        <f t="shared" si="60"/>
        <v>-14</v>
      </c>
      <c r="J604" s="24">
        <f t="shared" si="61"/>
        <v>2</v>
      </c>
      <c r="K604" s="17">
        <f t="shared" si="57"/>
        <v>-15</v>
      </c>
      <c r="M604" s="15">
        <f t="shared" ca="1" si="58"/>
        <v>0</v>
      </c>
      <c r="N604" s="15">
        <f t="shared" ca="1" si="59"/>
        <v>42035</v>
      </c>
      <c r="Z604" s="1"/>
    </row>
    <row r="605" spans="3:26" x14ac:dyDescent="0.2">
      <c r="C605" s="39"/>
      <c r="D605" s="39"/>
      <c r="E605" s="38">
        <f>[2]!expavg($T$9:$T$26,$R$9:$R$26,K605,H605)</f>
        <v>0.60472044954610527</v>
      </c>
      <c r="F605" s="38" t="str">
        <f>[2]!expavg2($T$9:$T$26,I605,J605,$R$9:$R$26)</f>
        <v>ERROR: Please use BegPeriod &gt;= 1.</v>
      </c>
      <c r="H605" s="2">
        <f t="shared" si="56"/>
        <v>0</v>
      </c>
      <c r="I605" s="24">
        <f t="shared" si="60"/>
        <v>-14</v>
      </c>
      <c r="J605" s="24">
        <f t="shared" si="61"/>
        <v>1</v>
      </c>
      <c r="K605" s="17">
        <f t="shared" si="57"/>
        <v>-14</v>
      </c>
      <c r="M605" s="15">
        <f t="shared" ca="1" si="58"/>
        <v>0</v>
      </c>
      <c r="N605" s="15">
        <f t="shared" ca="1" si="59"/>
        <v>42400</v>
      </c>
      <c r="Z605" s="1"/>
    </row>
    <row r="606" spans="3:26" x14ac:dyDescent="0.2">
      <c r="C606" s="39"/>
      <c r="D606" s="39"/>
      <c r="E606" s="38">
        <f>[2]!expavg($T$9:$T$26,$R$9:$R$26,K606,H606)</f>
        <v>0.60472044954610527</v>
      </c>
      <c r="F606" s="38" t="str">
        <f>[2]!expavg2($T$9:$T$26,I606,J606,$R$9:$R$26)</f>
        <v>ERROR: Please use BegPeriod &gt;= 1.</v>
      </c>
      <c r="H606" s="2">
        <f t="shared" si="56"/>
        <v>-1</v>
      </c>
      <c r="I606" s="24">
        <f t="shared" si="60"/>
        <v>-14</v>
      </c>
      <c r="J606" s="24">
        <f t="shared" si="61"/>
        <v>0</v>
      </c>
      <c r="K606" s="17">
        <f t="shared" si="57"/>
        <v>-13</v>
      </c>
      <c r="M606" s="15">
        <f t="shared" ca="1" si="58"/>
        <v>0</v>
      </c>
      <c r="N606" s="15">
        <f t="shared" ca="1" si="59"/>
        <v>0</v>
      </c>
      <c r="Z606" s="1"/>
    </row>
    <row r="607" spans="3:26" x14ac:dyDescent="0.2">
      <c r="C607" s="39"/>
      <c r="D607" s="39"/>
      <c r="E607" s="38">
        <f>[2]!expavg($T$9:$T$26,$R$9:$R$26,K607,H607)</f>
        <v>0.60472044954610527</v>
      </c>
      <c r="F607" s="38" t="str">
        <f>[2]!expavg2($T$9:$T$26,I607,J607,$R$9:$R$26)</f>
        <v>ERROR: Please use BegPeriod &gt;= 1.</v>
      </c>
      <c r="H607" s="2">
        <f t="shared" si="56"/>
        <v>-2</v>
      </c>
      <c r="I607" s="24">
        <f t="shared" si="60"/>
        <v>-14</v>
      </c>
      <c r="J607" s="24">
        <f t="shared" si="61"/>
        <v>-1</v>
      </c>
      <c r="K607" s="17">
        <f t="shared" si="57"/>
        <v>-12</v>
      </c>
      <c r="M607" s="15">
        <f t="shared" ca="1" si="58"/>
        <v>0</v>
      </c>
      <c r="N607" s="15">
        <f t="shared" ca="1" si="59"/>
        <v>0</v>
      </c>
      <c r="Z607" s="1"/>
    </row>
    <row r="608" spans="3:26" x14ac:dyDescent="0.2">
      <c r="C608" s="39"/>
      <c r="D608" s="39"/>
      <c r="E608" s="38">
        <f>[2]!expavg($T$9:$T$26,$R$9:$R$26,K608,H608)</f>
        <v>0.70939186407915755</v>
      </c>
      <c r="F608" s="38" t="str">
        <f>[2]!expavg2($T$9:$T$26,I608,J608,$R$9:$R$26)</f>
        <v>ERROR: Please use BegPeriod &gt;= 1.</v>
      </c>
      <c r="H608" s="2">
        <f t="shared" si="56"/>
        <v>14</v>
      </c>
      <c r="I608" s="24">
        <f t="shared" si="60"/>
        <v>-15</v>
      </c>
      <c r="J608" s="24">
        <f t="shared" si="61"/>
        <v>15</v>
      </c>
      <c r="K608" s="17">
        <f t="shared" si="57"/>
        <v>-29</v>
      </c>
      <c r="M608" s="15">
        <f t="shared" ca="1" si="58"/>
        <v>0</v>
      </c>
      <c r="N608" s="15">
        <f t="shared" ca="1" si="59"/>
        <v>37287</v>
      </c>
      <c r="Z608" s="1"/>
    </row>
    <row r="609" spans="3:26" x14ac:dyDescent="0.2">
      <c r="C609" s="39"/>
      <c r="D609" s="39"/>
      <c r="E609" s="38">
        <f>[2]!expavg($T$9:$T$26,$R$9:$R$26,K609,H609)</f>
        <v>0.67177139323204882</v>
      </c>
      <c r="F609" s="38" t="str">
        <f>[2]!expavg2($T$9:$T$26,I609,J609,$R$9:$R$26)</f>
        <v>ERROR: Please use BegPeriod &gt;= 1.</v>
      </c>
      <c r="H609" s="2">
        <f t="shared" si="56"/>
        <v>13</v>
      </c>
      <c r="I609" s="24">
        <f t="shared" si="60"/>
        <v>-15</v>
      </c>
      <c r="J609" s="24">
        <f t="shared" si="61"/>
        <v>14</v>
      </c>
      <c r="K609" s="17">
        <f t="shared" si="57"/>
        <v>-28</v>
      </c>
      <c r="M609" s="15">
        <f t="shared" ca="1" si="58"/>
        <v>0</v>
      </c>
      <c r="N609" s="15">
        <f t="shared" ca="1" si="59"/>
        <v>37652</v>
      </c>
      <c r="Z609" s="1"/>
    </row>
    <row r="610" spans="3:26" x14ac:dyDescent="0.2">
      <c r="C610" s="39"/>
      <c r="D610" s="39"/>
      <c r="E610" s="38">
        <f>[2]!expavg($T$9:$T$26,$R$9:$R$26,K610,H610)</f>
        <v>0.66945167850810816</v>
      </c>
      <c r="F610" s="38" t="str">
        <f>[2]!expavg2($T$9:$T$26,I610,J610,$R$9:$R$26)</f>
        <v>ERROR: Please use BegPeriod &gt;= 1.</v>
      </c>
      <c r="H610" s="2">
        <f t="shared" si="56"/>
        <v>12</v>
      </c>
      <c r="I610" s="24">
        <f t="shared" si="60"/>
        <v>-15</v>
      </c>
      <c r="J610" s="24">
        <f t="shared" si="61"/>
        <v>13</v>
      </c>
      <c r="K610" s="17">
        <f t="shared" si="57"/>
        <v>-27</v>
      </c>
      <c r="M610" s="15">
        <f t="shared" ca="1" si="58"/>
        <v>0</v>
      </c>
      <c r="N610" s="15">
        <f t="shared" ca="1" si="59"/>
        <v>38017</v>
      </c>
      <c r="Z610" s="1"/>
    </row>
    <row r="611" spans="3:26" x14ac:dyDescent="0.2">
      <c r="C611" s="39"/>
      <c r="D611" s="39"/>
      <c r="E611" s="38">
        <f>[2]!expavg($T$9:$T$26,$R$9:$R$26,K611,H611)</f>
        <v>0.67904388723605558</v>
      </c>
      <c r="F611" s="38" t="str">
        <f>[2]!expavg2($T$9:$T$26,I611,J611,$R$9:$R$26)</f>
        <v>ERROR: Please use BegPeriod &gt;= 1.</v>
      </c>
      <c r="H611" s="2">
        <f t="shared" si="56"/>
        <v>11</v>
      </c>
      <c r="I611" s="24">
        <f t="shared" si="60"/>
        <v>-15</v>
      </c>
      <c r="J611" s="24">
        <f t="shared" si="61"/>
        <v>12</v>
      </c>
      <c r="K611" s="17">
        <f t="shared" si="57"/>
        <v>-26</v>
      </c>
      <c r="M611" s="15">
        <f t="shared" ca="1" si="58"/>
        <v>0</v>
      </c>
      <c r="N611" s="15">
        <f t="shared" ca="1" si="59"/>
        <v>38383</v>
      </c>
      <c r="Z611" s="1"/>
    </row>
    <row r="612" spans="3:26" x14ac:dyDescent="0.2">
      <c r="C612" s="39"/>
      <c r="D612" s="39"/>
      <c r="E612" s="38">
        <f>[2]!expavg($T$9:$T$26,$R$9:$R$26,K612,H612)</f>
        <v>0.68957279758642287</v>
      </c>
      <c r="F612" s="38" t="str">
        <f>[2]!expavg2($T$9:$T$26,I612,J612,$R$9:$R$26)</f>
        <v>ERROR: Please use BegPeriod &gt;= 1.</v>
      </c>
      <c r="H612" s="2">
        <f t="shared" si="56"/>
        <v>10</v>
      </c>
      <c r="I612" s="24">
        <f t="shared" si="60"/>
        <v>-15</v>
      </c>
      <c r="J612" s="24">
        <f t="shared" si="61"/>
        <v>11</v>
      </c>
      <c r="K612" s="17">
        <f t="shared" si="57"/>
        <v>-25</v>
      </c>
      <c r="M612" s="15">
        <f t="shared" ca="1" si="58"/>
        <v>0</v>
      </c>
      <c r="N612" s="15">
        <f t="shared" ca="1" si="59"/>
        <v>38748</v>
      </c>
      <c r="Z612" s="1"/>
    </row>
    <row r="613" spans="3:26" x14ac:dyDescent="0.2">
      <c r="C613" s="39"/>
      <c r="D613" s="39"/>
      <c r="E613" s="38">
        <f>[2]!expavg($T$9:$T$26,$R$9:$R$26,K613,H613)</f>
        <v>0.67160897630855276</v>
      </c>
      <c r="F613" s="38" t="str">
        <f>[2]!expavg2($T$9:$T$26,I613,J613,$R$9:$R$26)</f>
        <v>ERROR: Please use BegPeriod &gt;= 1.</v>
      </c>
      <c r="H613" s="2">
        <f t="shared" si="56"/>
        <v>9</v>
      </c>
      <c r="I613" s="24">
        <f t="shared" si="60"/>
        <v>-15</v>
      </c>
      <c r="J613" s="24">
        <f t="shared" si="61"/>
        <v>10</v>
      </c>
      <c r="K613" s="17">
        <f t="shared" si="57"/>
        <v>-24</v>
      </c>
      <c r="M613" s="15">
        <f t="shared" ca="1" si="58"/>
        <v>0</v>
      </c>
      <c r="N613" s="15">
        <f t="shared" ca="1" si="59"/>
        <v>39113</v>
      </c>
      <c r="Z613" s="1"/>
    </row>
    <row r="614" spans="3:26" x14ac:dyDescent="0.2">
      <c r="C614" s="39"/>
      <c r="D614" s="39"/>
      <c r="E614" s="38">
        <f>[2]!expavg($T$9:$T$26,$R$9:$R$26,K614,H614)</f>
        <v>0.66527157980250695</v>
      </c>
      <c r="F614" s="38" t="str">
        <f>[2]!expavg2($T$9:$T$26,I614,J614,$R$9:$R$26)</f>
        <v>ERROR: Please use BegPeriod &gt;= 1.</v>
      </c>
      <c r="H614" s="2">
        <f t="shared" si="56"/>
        <v>8</v>
      </c>
      <c r="I614" s="24">
        <f t="shared" si="60"/>
        <v>-15</v>
      </c>
      <c r="J614" s="24">
        <f t="shared" si="61"/>
        <v>9</v>
      </c>
      <c r="K614" s="17">
        <f t="shared" si="57"/>
        <v>-23</v>
      </c>
      <c r="M614" s="15">
        <f t="shared" ca="1" si="58"/>
        <v>0</v>
      </c>
      <c r="N614" s="15">
        <f t="shared" ca="1" si="59"/>
        <v>39478</v>
      </c>
      <c r="Z614" s="1"/>
    </row>
    <row r="615" spans="3:26" x14ac:dyDescent="0.2">
      <c r="C615" s="39"/>
      <c r="D615" s="39"/>
      <c r="E615" s="38">
        <f>[2]!expavg($T$9:$T$26,$R$9:$R$26,K615,H615)</f>
        <v>0.68450987024306864</v>
      </c>
      <c r="F615" s="38" t="str">
        <f>[2]!expavg2($T$9:$T$26,I615,J615,$R$9:$R$26)</f>
        <v>ERROR: Please use BegPeriod &gt;= 1.</v>
      </c>
      <c r="H615" s="2">
        <f t="shared" si="56"/>
        <v>7</v>
      </c>
      <c r="I615" s="24">
        <f t="shared" si="60"/>
        <v>-15</v>
      </c>
      <c r="J615" s="24">
        <f t="shared" si="61"/>
        <v>8</v>
      </c>
      <c r="K615" s="17">
        <f t="shared" si="57"/>
        <v>-22</v>
      </c>
      <c r="M615" s="15">
        <f t="shared" ca="1" si="58"/>
        <v>0</v>
      </c>
      <c r="N615" s="15">
        <f t="shared" ca="1" si="59"/>
        <v>39844</v>
      </c>
      <c r="Z615" s="1"/>
    </row>
    <row r="616" spans="3:26" x14ac:dyDescent="0.2">
      <c r="C616" s="39"/>
      <c r="D616" s="39"/>
      <c r="E616" s="38">
        <f>[2]!expavg($T$9:$T$26,$R$9:$R$26,K616,H616)</f>
        <v>0.67627397338659268</v>
      </c>
      <c r="F616" s="38" t="str">
        <f>[2]!expavg2($T$9:$T$26,I616,J616,$R$9:$R$26)</f>
        <v>ERROR: Please use BegPeriod &gt;= 1.</v>
      </c>
      <c r="H616" s="2">
        <f t="shared" si="56"/>
        <v>6</v>
      </c>
      <c r="I616" s="24">
        <f t="shared" si="60"/>
        <v>-15</v>
      </c>
      <c r="J616" s="24">
        <f t="shared" si="61"/>
        <v>7</v>
      </c>
      <c r="K616" s="17">
        <f t="shared" si="57"/>
        <v>-21</v>
      </c>
      <c r="M616" s="15">
        <f t="shared" ca="1" si="58"/>
        <v>0</v>
      </c>
      <c r="N616" s="15">
        <f t="shared" ca="1" si="59"/>
        <v>40209</v>
      </c>
      <c r="Z616" s="1"/>
    </row>
    <row r="617" spans="3:26" x14ac:dyDescent="0.2">
      <c r="C617" s="39"/>
      <c r="D617" s="39"/>
      <c r="E617" s="38">
        <f>[2]!expavg($T$9:$T$26,$R$9:$R$26,K617,H617)</f>
        <v>0.66006899259190965</v>
      </c>
      <c r="F617" s="38" t="str">
        <f>[2]!expavg2($T$9:$T$26,I617,J617,$R$9:$R$26)</f>
        <v>ERROR: Please use BegPeriod &gt;= 1.</v>
      </c>
      <c r="H617" s="2">
        <f t="shared" si="56"/>
        <v>5</v>
      </c>
      <c r="I617" s="24">
        <f t="shared" si="60"/>
        <v>-15</v>
      </c>
      <c r="J617" s="24">
        <f t="shared" si="61"/>
        <v>6</v>
      </c>
      <c r="K617" s="17">
        <f t="shared" si="57"/>
        <v>-20</v>
      </c>
      <c r="M617" s="15">
        <f t="shared" ca="1" si="58"/>
        <v>0</v>
      </c>
      <c r="N617" s="15">
        <f t="shared" ca="1" si="59"/>
        <v>40574</v>
      </c>
      <c r="Z617" s="1"/>
    </row>
    <row r="618" spans="3:26" x14ac:dyDescent="0.2">
      <c r="C618" s="39"/>
      <c r="D618" s="39"/>
      <c r="E618" s="38">
        <f>[2]!expavg($T$9:$T$26,$R$9:$R$26,K618,H618)</f>
        <v>0.64048216018789683</v>
      </c>
      <c r="F618" s="38" t="str">
        <f>[2]!expavg2($T$9:$T$26,I618,J618,$R$9:$R$26)</f>
        <v>ERROR: Please use BegPeriod &gt;= 1.</v>
      </c>
      <c r="H618" s="2">
        <f t="shared" si="56"/>
        <v>4</v>
      </c>
      <c r="I618" s="24">
        <f t="shared" si="60"/>
        <v>-15</v>
      </c>
      <c r="J618" s="24">
        <f t="shared" si="61"/>
        <v>5</v>
      </c>
      <c r="K618" s="17">
        <f t="shared" si="57"/>
        <v>-19</v>
      </c>
      <c r="M618" s="15">
        <f t="shared" ca="1" si="58"/>
        <v>0</v>
      </c>
      <c r="N618" s="15">
        <f t="shared" ca="1" si="59"/>
        <v>40939</v>
      </c>
      <c r="Z618" s="1"/>
    </row>
    <row r="619" spans="3:26" x14ac:dyDescent="0.2">
      <c r="C619" s="39"/>
      <c r="D619" s="39"/>
      <c r="E619" s="38">
        <f>[2]!expavg($T$9:$T$26,$R$9:$R$26,K619,H619)</f>
        <v>0.62815488340610859</v>
      </c>
      <c r="F619" s="38" t="str">
        <f>[2]!expavg2($T$9:$T$26,I619,J619,$R$9:$R$26)</f>
        <v>ERROR: Please use BegPeriod &gt;= 1.</v>
      </c>
      <c r="H619" s="2">
        <f t="shared" si="56"/>
        <v>3</v>
      </c>
      <c r="I619" s="24">
        <f t="shared" si="60"/>
        <v>-15</v>
      </c>
      <c r="J619" s="24">
        <f t="shared" si="61"/>
        <v>4</v>
      </c>
      <c r="K619" s="17">
        <f t="shared" si="57"/>
        <v>-18</v>
      </c>
      <c r="M619" s="15">
        <f t="shared" ca="1" si="58"/>
        <v>0</v>
      </c>
      <c r="N619" s="15">
        <f t="shared" ca="1" si="59"/>
        <v>41305</v>
      </c>
      <c r="Z619" s="1"/>
    </row>
    <row r="620" spans="3:26" x14ac:dyDescent="0.2">
      <c r="C620" s="39"/>
      <c r="D620" s="39"/>
      <c r="E620" s="38">
        <f>[2]!expavg($T$9:$T$26,$R$9:$R$26,K620,H620)</f>
        <v>0.62040838094689943</v>
      </c>
      <c r="F620" s="38" t="str">
        <f>[2]!expavg2($T$9:$T$26,I620,J620,$R$9:$R$26)</f>
        <v>ERROR: Please use BegPeriod &gt;= 1.</v>
      </c>
      <c r="H620" s="2">
        <f t="shared" si="56"/>
        <v>2</v>
      </c>
      <c r="I620" s="24">
        <f t="shared" si="60"/>
        <v>-15</v>
      </c>
      <c r="J620" s="24">
        <f t="shared" si="61"/>
        <v>3</v>
      </c>
      <c r="K620" s="17">
        <f t="shared" si="57"/>
        <v>-17</v>
      </c>
      <c r="M620" s="15">
        <f t="shared" ca="1" si="58"/>
        <v>0</v>
      </c>
      <c r="N620" s="15">
        <f t="shared" ca="1" si="59"/>
        <v>41670</v>
      </c>
      <c r="Z620" s="1"/>
    </row>
    <row r="621" spans="3:26" x14ac:dyDescent="0.2">
      <c r="C621" s="39"/>
      <c r="D621" s="39"/>
      <c r="E621" s="38">
        <f>[2]!expavg($T$9:$T$26,$R$9:$R$26,K621,H621)</f>
        <v>0.60752408974439076</v>
      </c>
      <c r="F621" s="38" t="str">
        <f>[2]!expavg2($T$9:$T$26,I621,J621,$R$9:$R$26)</f>
        <v>ERROR: Please use BegPeriod &gt;= 1.</v>
      </c>
      <c r="H621" s="2">
        <f t="shared" si="56"/>
        <v>1</v>
      </c>
      <c r="I621" s="24">
        <f t="shared" si="60"/>
        <v>-15</v>
      </c>
      <c r="J621" s="24">
        <f t="shared" si="61"/>
        <v>2</v>
      </c>
      <c r="K621" s="17">
        <f t="shared" si="57"/>
        <v>-16</v>
      </c>
      <c r="M621" s="15">
        <f t="shared" ca="1" si="58"/>
        <v>0</v>
      </c>
      <c r="N621" s="15">
        <f t="shared" ca="1" si="59"/>
        <v>42035</v>
      </c>
      <c r="Z621" s="1"/>
    </row>
    <row r="622" spans="3:26" x14ac:dyDescent="0.2">
      <c r="C622" s="39"/>
      <c r="D622" s="39"/>
      <c r="E622" s="38">
        <f>[2]!expavg($T$9:$T$26,$R$9:$R$26,K622,H622)</f>
        <v>0.60472044954610527</v>
      </c>
      <c r="F622" s="38" t="str">
        <f>[2]!expavg2($T$9:$T$26,I622,J622,$R$9:$R$26)</f>
        <v>ERROR: Please use BegPeriod &gt;= 1.</v>
      </c>
      <c r="H622" s="2">
        <f t="shared" si="56"/>
        <v>0</v>
      </c>
      <c r="I622" s="24">
        <f t="shared" si="60"/>
        <v>-15</v>
      </c>
      <c r="J622" s="24">
        <f t="shared" si="61"/>
        <v>1</v>
      </c>
      <c r="K622" s="17">
        <f t="shared" si="57"/>
        <v>-15</v>
      </c>
      <c r="M622" s="15">
        <f t="shared" ca="1" si="58"/>
        <v>0</v>
      </c>
      <c r="N622" s="15">
        <f t="shared" ca="1" si="59"/>
        <v>42400</v>
      </c>
      <c r="Z622" s="1"/>
    </row>
    <row r="623" spans="3:26" x14ac:dyDescent="0.2">
      <c r="C623" s="39"/>
      <c r="D623" s="39"/>
      <c r="E623" s="38">
        <f>[2]!expavg($T$9:$T$26,$R$9:$R$26,K623,H623)</f>
        <v>0.60472044954610527</v>
      </c>
      <c r="F623" s="38" t="str">
        <f>[2]!expavg2($T$9:$T$26,I623,J623,$R$9:$R$26)</f>
        <v>ERROR: Please use BegPeriod &gt;= 1.</v>
      </c>
      <c r="H623" s="2">
        <f t="shared" si="56"/>
        <v>-1</v>
      </c>
      <c r="I623" s="24">
        <f t="shared" si="60"/>
        <v>-15</v>
      </c>
      <c r="J623" s="24">
        <f t="shared" si="61"/>
        <v>0</v>
      </c>
      <c r="K623" s="17">
        <f t="shared" si="57"/>
        <v>-14</v>
      </c>
      <c r="M623" s="15">
        <f t="shared" ca="1" si="58"/>
        <v>0</v>
      </c>
      <c r="N623" s="15">
        <f t="shared" ca="1" si="59"/>
        <v>0</v>
      </c>
      <c r="Z623" s="1"/>
    </row>
    <row r="624" spans="3:26" x14ac:dyDescent="0.2">
      <c r="C624" s="39"/>
      <c r="D624" s="39"/>
      <c r="E624" s="38">
        <f>[2]!expavg($T$9:$T$26,$R$9:$R$26,K624,H624)</f>
        <v>0.60472044954610527</v>
      </c>
      <c r="F624" s="38" t="str">
        <f>[2]!expavg2($T$9:$T$26,I624,J624,$R$9:$R$26)</f>
        <v>ERROR: Please use BegPeriod &gt;= 1.</v>
      </c>
      <c r="H624" s="2">
        <f t="shared" ref="H624:H687" si="62">J624-1</f>
        <v>-2</v>
      </c>
      <c r="I624" s="24">
        <f t="shared" si="60"/>
        <v>-15</v>
      </c>
      <c r="J624" s="24">
        <f t="shared" si="61"/>
        <v>-1</v>
      </c>
      <c r="K624" s="17">
        <f t="shared" ref="K624:K687" si="63">I624-J624+1</f>
        <v>-13</v>
      </c>
      <c r="M624" s="15">
        <f t="shared" ref="M624:M687" ca="1" si="64">OFFSET($P$27,-I624,0)</f>
        <v>0</v>
      </c>
      <c r="N624" s="15">
        <f t="shared" ref="N624:N687" ca="1" si="65">OFFSET($P$27,-J624,0)</f>
        <v>0</v>
      </c>
      <c r="Z624" s="1"/>
    </row>
    <row r="625" spans="3:26" x14ac:dyDescent="0.2">
      <c r="C625" s="39"/>
      <c r="D625" s="39"/>
      <c r="E625" s="38">
        <f>[2]!expavg($T$9:$T$26,$R$9:$R$26,K625,H625)</f>
        <v>0.70939186407915755</v>
      </c>
      <c r="F625" s="38" t="str">
        <f>[2]!expavg2($T$9:$T$26,I625,J625,$R$9:$R$26)</f>
        <v>ERROR: Please use BegPeriod &gt;= 1.</v>
      </c>
      <c r="H625" s="2">
        <f t="shared" si="62"/>
        <v>14</v>
      </c>
      <c r="I625" s="24">
        <f t="shared" si="60"/>
        <v>-16</v>
      </c>
      <c r="J625" s="24">
        <f t="shared" si="61"/>
        <v>15</v>
      </c>
      <c r="K625" s="17">
        <f t="shared" si="63"/>
        <v>-30</v>
      </c>
      <c r="M625" s="15">
        <f t="shared" ca="1" si="64"/>
        <v>0</v>
      </c>
      <c r="N625" s="15">
        <f t="shared" ca="1" si="65"/>
        <v>37287</v>
      </c>
      <c r="Z625" s="1"/>
    </row>
    <row r="626" spans="3:26" x14ac:dyDescent="0.2">
      <c r="C626" s="39"/>
      <c r="D626" s="39"/>
      <c r="E626" s="38">
        <f>[2]!expavg($T$9:$T$26,$R$9:$R$26,K626,H626)</f>
        <v>0.67177139323204882</v>
      </c>
      <c r="F626" s="38" t="str">
        <f>[2]!expavg2($T$9:$T$26,I626,J626,$R$9:$R$26)</f>
        <v>ERROR: Please use BegPeriod &gt;= 1.</v>
      </c>
      <c r="H626" s="2">
        <f t="shared" si="62"/>
        <v>13</v>
      </c>
      <c r="I626" s="24">
        <f t="shared" si="60"/>
        <v>-16</v>
      </c>
      <c r="J626" s="24">
        <f t="shared" si="61"/>
        <v>14</v>
      </c>
      <c r="K626" s="17">
        <f t="shared" si="63"/>
        <v>-29</v>
      </c>
      <c r="M626" s="15">
        <f t="shared" ca="1" si="64"/>
        <v>0</v>
      </c>
      <c r="N626" s="15">
        <f t="shared" ca="1" si="65"/>
        <v>37652</v>
      </c>
      <c r="Z626" s="1"/>
    </row>
    <row r="627" spans="3:26" x14ac:dyDescent="0.2">
      <c r="C627" s="39"/>
      <c r="D627" s="39"/>
      <c r="E627" s="38">
        <f>[2]!expavg($T$9:$T$26,$R$9:$R$26,K627,H627)</f>
        <v>0.66945167850810816</v>
      </c>
      <c r="F627" s="38" t="str">
        <f>[2]!expavg2($T$9:$T$26,I627,J627,$R$9:$R$26)</f>
        <v>ERROR: Please use BegPeriod &gt;= 1.</v>
      </c>
      <c r="H627" s="2">
        <f t="shared" si="62"/>
        <v>12</v>
      </c>
      <c r="I627" s="24">
        <f t="shared" si="60"/>
        <v>-16</v>
      </c>
      <c r="J627" s="24">
        <f t="shared" si="61"/>
        <v>13</v>
      </c>
      <c r="K627" s="17">
        <f t="shared" si="63"/>
        <v>-28</v>
      </c>
      <c r="M627" s="15">
        <f t="shared" ca="1" si="64"/>
        <v>0</v>
      </c>
      <c r="N627" s="15">
        <f t="shared" ca="1" si="65"/>
        <v>38017</v>
      </c>
      <c r="Z627" s="1"/>
    </row>
    <row r="628" spans="3:26" x14ac:dyDescent="0.2">
      <c r="C628" s="39"/>
      <c r="D628" s="39"/>
      <c r="E628" s="38">
        <f>[2]!expavg($T$9:$T$26,$R$9:$R$26,K628,H628)</f>
        <v>0.67904388723605558</v>
      </c>
      <c r="F628" s="38" t="str">
        <f>[2]!expavg2($T$9:$T$26,I628,J628,$R$9:$R$26)</f>
        <v>ERROR: Please use BegPeriod &gt;= 1.</v>
      </c>
      <c r="H628" s="2">
        <f t="shared" si="62"/>
        <v>11</v>
      </c>
      <c r="I628" s="24">
        <f t="shared" ref="I628:I691" si="66">I611-1</f>
        <v>-16</v>
      </c>
      <c r="J628" s="24">
        <f t="shared" ref="J628:J691" si="67">J611</f>
        <v>12</v>
      </c>
      <c r="K628" s="17">
        <f t="shared" si="63"/>
        <v>-27</v>
      </c>
      <c r="M628" s="15">
        <f t="shared" ca="1" si="64"/>
        <v>0</v>
      </c>
      <c r="N628" s="15">
        <f t="shared" ca="1" si="65"/>
        <v>38383</v>
      </c>
      <c r="Z628" s="1"/>
    </row>
    <row r="629" spans="3:26" x14ac:dyDescent="0.2">
      <c r="C629" s="39"/>
      <c r="D629" s="39"/>
      <c r="E629" s="38">
        <f>[2]!expavg($T$9:$T$26,$R$9:$R$26,K629,H629)</f>
        <v>0.68957279758642287</v>
      </c>
      <c r="F629" s="38" t="str">
        <f>[2]!expavg2($T$9:$T$26,I629,J629,$R$9:$R$26)</f>
        <v>ERROR: Please use BegPeriod &gt;= 1.</v>
      </c>
      <c r="H629" s="2">
        <f t="shared" si="62"/>
        <v>10</v>
      </c>
      <c r="I629" s="24">
        <f t="shared" si="66"/>
        <v>-16</v>
      </c>
      <c r="J629" s="24">
        <f t="shared" si="67"/>
        <v>11</v>
      </c>
      <c r="K629" s="17">
        <f t="shared" si="63"/>
        <v>-26</v>
      </c>
      <c r="M629" s="15">
        <f t="shared" ca="1" si="64"/>
        <v>0</v>
      </c>
      <c r="N629" s="15">
        <f t="shared" ca="1" si="65"/>
        <v>38748</v>
      </c>
      <c r="Z629" s="1"/>
    </row>
    <row r="630" spans="3:26" x14ac:dyDescent="0.2">
      <c r="C630" s="39"/>
      <c r="D630" s="39"/>
      <c r="E630" s="38">
        <f>[2]!expavg($T$9:$T$26,$R$9:$R$26,K630,H630)</f>
        <v>0.67160897630855276</v>
      </c>
      <c r="F630" s="38" t="str">
        <f>[2]!expavg2($T$9:$T$26,I630,J630,$R$9:$R$26)</f>
        <v>ERROR: Please use BegPeriod &gt;= 1.</v>
      </c>
      <c r="H630" s="2">
        <f t="shared" si="62"/>
        <v>9</v>
      </c>
      <c r="I630" s="24">
        <f t="shared" si="66"/>
        <v>-16</v>
      </c>
      <c r="J630" s="24">
        <f t="shared" si="67"/>
        <v>10</v>
      </c>
      <c r="K630" s="17">
        <f t="shared" si="63"/>
        <v>-25</v>
      </c>
      <c r="M630" s="15">
        <f t="shared" ca="1" si="64"/>
        <v>0</v>
      </c>
      <c r="N630" s="15">
        <f t="shared" ca="1" si="65"/>
        <v>39113</v>
      </c>
      <c r="Z630" s="1"/>
    </row>
    <row r="631" spans="3:26" x14ac:dyDescent="0.2">
      <c r="C631" s="39"/>
      <c r="D631" s="39"/>
      <c r="E631" s="38">
        <f>[2]!expavg($T$9:$T$26,$R$9:$R$26,K631,H631)</f>
        <v>0.66527157980250695</v>
      </c>
      <c r="F631" s="38" t="str">
        <f>[2]!expavg2($T$9:$T$26,I631,J631,$R$9:$R$26)</f>
        <v>ERROR: Please use BegPeriod &gt;= 1.</v>
      </c>
      <c r="H631" s="2">
        <f t="shared" si="62"/>
        <v>8</v>
      </c>
      <c r="I631" s="24">
        <f t="shared" si="66"/>
        <v>-16</v>
      </c>
      <c r="J631" s="24">
        <f t="shared" si="67"/>
        <v>9</v>
      </c>
      <c r="K631" s="17">
        <f t="shared" si="63"/>
        <v>-24</v>
      </c>
      <c r="M631" s="15">
        <f t="shared" ca="1" si="64"/>
        <v>0</v>
      </c>
      <c r="N631" s="15">
        <f t="shared" ca="1" si="65"/>
        <v>39478</v>
      </c>
      <c r="Z631" s="1"/>
    </row>
    <row r="632" spans="3:26" x14ac:dyDescent="0.2">
      <c r="C632" s="39"/>
      <c r="D632" s="39"/>
      <c r="E632" s="38">
        <f>[2]!expavg($T$9:$T$26,$R$9:$R$26,K632,H632)</f>
        <v>0.68450987024306864</v>
      </c>
      <c r="F632" s="38" t="str">
        <f>[2]!expavg2($T$9:$T$26,I632,J632,$R$9:$R$26)</f>
        <v>ERROR: Please use BegPeriod &gt;= 1.</v>
      </c>
      <c r="H632" s="2">
        <f t="shared" si="62"/>
        <v>7</v>
      </c>
      <c r="I632" s="24">
        <f t="shared" si="66"/>
        <v>-16</v>
      </c>
      <c r="J632" s="24">
        <f t="shared" si="67"/>
        <v>8</v>
      </c>
      <c r="K632" s="17">
        <f t="shared" si="63"/>
        <v>-23</v>
      </c>
      <c r="M632" s="15">
        <f t="shared" ca="1" si="64"/>
        <v>0</v>
      </c>
      <c r="N632" s="15">
        <f t="shared" ca="1" si="65"/>
        <v>39844</v>
      </c>
      <c r="Z632" s="1"/>
    </row>
    <row r="633" spans="3:26" x14ac:dyDescent="0.2">
      <c r="C633" s="39"/>
      <c r="D633" s="39"/>
      <c r="E633" s="38">
        <f>[2]!expavg($T$9:$T$26,$R$9:$R$26,K633,H633)</f>
        <v>0.67627397338659268</v>
      </c>
      <c r="F633" s="38" t="str">
        <f>[2]!expavg2($T$9:$T$26,I633,J633,$R$9:$R$26)</f>
        <v>ERROR: Please use BegPeriod &gt;= 1.</v>
      </c>
      <c r="H633" s="2">
        <f t="shared" si="62"/>
        <v>6</v>
      </c>
      <c r="I633" s="24">
        <f t="shared" si="66"/>
        <v>-16</v>
      </c>
      <c r="J633" s="24">
        <f t="shared" si="67"/>
        <v>7</v>
      </c>
      <c r="K633" s="17">
        <f t="shared" si="63"/>
        <v>-22</v>
      </c>
      <c r="M633" s="15">
        <f t="shared" ca="1" si="64"/>
        <v>0</v>
      </c>
      <c r="N633" s="15">
        <f t="shared" ca="1" si="65"/>
        <v>40209</v>
      </c>
      <c r="Z633" s="1"/>
    </row>
    <row r="634" spans="3:26" x14ac:dyDescent="0.2">
      <c r="C634" s="39"/>
      <c r="D634" s="39"/>
      <c r="E634" s="38">
        <f>[2]!expavg($T$9:$T$26,$R$9:$R$26,K634,H634)</f>
        <v>0.66006899259190965</v>
      </c>
      <c r="F634" s="38" t="str">
        <f>[2]!expavg2($T$9:$T$26,I634,J634,$R$9:$R$26)</f>
        <v>ERROR: Please use BegPeriod &gt;= 1.</v>
      </c>
      <c r="H634" s="2">
        <f t="shared" si="62"/>
        <v>5</v>
      </c>
      <c r="I634" s="24">
        <f t="shared" si="66"/>
        <v>-16</v>
      </c>
      <c r="J634" s="24">
        <f t="shared" si="67"/>
        <v>6</v>
      </c>
      <c r="K634" s="17">
        <f t="shared" si="63"/>
        <v>-21</v>
      </c>
      <c r="M634" s="15">
        <f t="shared" ca="1" si="64"/>
        <v>0</v>
      </c>
      <c r="N634" s="15">
        <f t="shared" ca="1" si="65"/>
        <v>40574</v>
      </c>
      <c r="Z634" s="1"/>
    </row>
    <row r="635" spans="3:26" x14ac:dyDescent="0.2">
      <c r="C635" s="39"/>
      <c r="D635" s="39"/>
      <c r="E635" s="38">
        <f>[2]!expavg($T$9:$T$26,$R$9:$R$26,K635,H635)</f>
        <v>0.64048216018789683</v>
      </c>
      <c r="F635" s="38" t="str">
        <f>[2]!expavg2($T$9:$T$26,I635,J635,$R$9:$R$26)</f>
        <v>ERROR: Please use BegPeriod &gt;= 1.</v>
      </c>
      <c r="H635" s="2">
        <f t="shared" si="62"/>
        <v>4</v>
      </c>
      <c r="I635" s="24">
        <f t="shared" si="66"/>
        <v>-16</v>
      </c>
      <c r="J635" s="24">
        <f t="shared" si="67"/>
        <v>5</v>
      </c>
      <c r="K635" s="17">
        <f t="shared" si="63"/>
        <v>-20</v>
      </c>
      <c r="M635" s="15">
        <f t="shared" ca="1" si="64"/>
        <v>0</v>
      </c>
      <c r="N635" s="15">
        <f t="shared" ca="1" si="65"/>
        <v>40939</v>
      </c>
      <c r="Z635" s="1"/>
    </row>
    <row r="636" spans="3:26" x14ac:dyDescent="0.2">
      <c r="C636" s="39"/>
      <c r="D636" s="39"/>
      <c r="E636" s="38">
        <f>[2]!expavg($T$9:$T$26,$R$9:$R$26,K636,H636)</f>
        <v>0.62815488340610859</v>
      </c>
      <c r="F636" s="38" t="str">
        <f>[2]!expavg2($T$9:$T$26,I636,J636,$R$9:$R$26)</f>
        <v>ERROR: Please use BegPeriod &gt;= 1.</v>
      </c>
      <c r="H636" s="2">
        <f t="shared" si="62"/>
        <v>3</v>
      </c>
      <c r="I636" s="24">
        <f t="shared" si="66"/>
        <v>-16</v>
      </c>
      <c r="J636" s="24">
        <f t="shared" si="67"/>
        <v>4</v>
      </c>
      <c r="K636" s="17">
        <f t="shared" si="63"/>
        <v>-19</v>
      </c>
      <c r="M636" s="15">
        <f t="shared" ca="1" si="64"/>
        <v>0</v>
      </c>
      <c r="N636" s="15">
        <f t="shared" ca="1" si="65"/>
        <v>41305</v>
      </c>
      <c r="Z636" s="1"/>
    </row>
    <row r="637" spans="3:26" x14ac:dyDescent="0.2">
      <c r="C637" s="39"/>
      <c r="D637" s="39"/>
      <c r="E637" s="38">
        <f>[2]!expavg($T$9:$T$26,$R$9:$R$26,K637,H637)</f>
        <v>0.62040838094689943</v>
      </c>
      <c r="F637" s="38" t="str">
        <f>[2]!expavg2($T$9:$T$26,I637,J637,$R$9:$R$26)</f>
        <v>ERROR: Please use BegPeriod &gt;= 1.</v>
      </c>
      <c r="H637" s="2">
        <f t="shared" si="62"/>
        <v>2</v>
      </c>
      <c r="I637" s="24">
        <f t="shared" si="66"/>
        <v>-16</v>
      </c>
      <c r="J637" s="24">
        <f t="shared" si="67"/>
        <v>3</v>
      </c>
      <c r="K637" s="17">
        <f t="shared" si="63"/>
        <v>-18</v>
      </c>
      <c r="M637" s="15">
        <f t="shared" ca="1" si="64"/>
        <v>0</v>
      </c>
      <c r="N637" s="15">
        <f t="shared" ca="1" si="65"/>
        <v>41670</v>
      </c>
      <c r="Z637" s="1"/>
    </row>
    <row r="638" spans="3:26" x14ac:dyDescent="0.2">
      <c r="C638" s="39"/>
      <c r="D638" s="39"/>
      <c r="E638" s="38">
        <f>[2]!expavg($T$9:$T$26,$R$9:$R$26,K638,H638)</f>
        <v>0.60752408974439076</v>
      </c>
      <c r="F638" s="38" t="str">
        <f>[2]!expavg2($T$9:$T$26,I638,J638,$R$9:$R$26)</f>
        <v>ERROR: Please use BegPeriod &gt;= 1.</v>
      </c>
      <c r="H638" s="2">
        <f t="shared" si="62"/>
        <v>1</v>
      </c>
      <c r="I638" s="24">
        <f t="shared" si="66"/>
        <v>-16</v>
      </c>
      <c r="J638" s="24">
        <f t="shared" si="67"/>
        <v>2</v>
      </c>
      <c r="K638" s="17">
        <f t="shared" si="63"/>
        <v>-17</v>
      </c>
      <c r="M638" s="15">
        <f t="shared" ca="1" si="64"/>
        <v>0</v>
      </c>
      <c r="N638" s="15">
        <f t="shared" ca="1" si="65"/>
        <v>42035</v>
      </c>
      <c r="Z638" s="1"/>
    </row>
    <row r="639" spans="3:26" x14ac:dyDescent="0.2">
      <c r="C639" s="39"/>
      <c r="D639" s="39"/>
      <c r="E639" s="38">
        <f>[2]!expavg($T$9:$T$26,$R$9:$R$26,K639,H639)</f>
        <v>0.60472044954610527</v>
      </c>
      <c r="F639" s="38" t="str">
        <f>[2]!expavg2($T$9:$T$26,I639,J639,$R$9:$R$26)</f>
        <v>ERROR: Please use BegPeriod &gt;= 1.</v>
      </c>
      <c r="H639" s="2">
        <f t="shared" si="62"/>
        <v>0</v>
      </c>
      <c r="I639" s="24">
        <f t="shared" si="66"/>
        <v>-16</v>
      </c>
      <c r="J639" s="24">
        <f t="shared" si="67"/>
        <v>1</v>
      </c>
      <c r="K639" s="17">
        <f t="shared" si="63"/>
        <v>-16</v>
      </c>
      <c r="M639" s="15">
        <f t="shared" ca="1" si="64"/>
        <v>0</v>
      </c>
      <c r="N639" s="15">
        <f t="shared" ca="1" si="65"/>
        <v>42400</v>
      </c>
      <c r="Z639" s="1"/>
    </row>
    <row r="640" spans="3:26" x14ac:dyDescent="0.2">
      <c r="C640" s="39"/>
      <c r="D640" s="39"/>
      <c r="E640" s="38">
        <f>[2]!expavg($T$9:$T$26,$R$9:$R$26,K640,H640)</f>
        <v>0.60472044954610527</v>
      </c>
      <c r="F640" s="38" t="str">
        <f>[2]!expavg2($T$9:$T$26,I640,J640,$R$9:$R$26)</f>
        <v>ERROR: Please use BegPeriod &gt;= 1.</v>
      </c>
      <c r="H640" s="2">
        <f t="shared" si="62"/>
        <v>-1</v>
      </c>
      <c r="I640" s="24">
        <f t="shared" si="66"/>
        <v>-16</v>
      </c>
      <c r="J640" s="24">
        <f t="shared" si="67"/>
        <v>0</v>
      </c>
      <c r="K640" s="17">
        <f t="shared" si="63"/>
        <v>-15</v>
      </c>
      <c r="M640" s="15">
        <f t="shared" ca="1" si="64"/>
        <v>0</v>
      </c>
      <c r="N640" s="15">
        <f t="shared" ca="1" si="65"/>
        <v>0</v>
      </c>
      <c r="Z640" s="1"/>
    </row>
    <row r="641" spans="3:26" x14ac:dyDescent="0.2">
      <c r="C641" s="39"/>
      <c r="D641" s="39"/>
      <c r="E641" s="38">
        <f>[2]!expavg($T$9:$T$26,$R$9:$R$26,K641,H641)</f>
        <v>0.60472044954610527</v>
      </c>
      <c r="F641" s="38" t="str">
        <f>[2]!expavg2($T$9:$T$26,I641,J641,$R$9:$R$26)</f>
        <v>ERROR: Please use BegPeriod &gt;= 1.</v>
      </c>
      <c r="H641" s="2">
        <f t="shared" si="62"/>
        <v>-2</v>
      </c>
      <c r="I641" s="24">
        <f t="shared" si="66"/>
        <v>-16</v>
      </c>
      <c r="J641" s="24">
        <f t="shared" si="67"/>
        <v>-1</v>
      </c>
      <c r="K641" s="17">
        <f t="shared" si="63"/>
        <v>-14</v>
      </c>
      <c r="M641" s="15">
        <f t="shared" ca="1" si="64"/>
        <v>0</v>
      </c>
      <c r="N641" s="15">
        <f t="shared" ca="1" si="65"/>
        <v>0</v>
      </c>
      <c r="Z641" s="1"/>
    </row>
    <row r="642" spans="3:26" x14ac:dyDescent="0.2">
      <c r="C642" s="39"/>
      <c r="D642" s="39"/>
      <c r="E642" s="38">
        <f>[2]!expavg($T$9:$T$26,$R$9:$R$26,K642,H642)</f>
        <v>0.70939186407915755</v>
      </c>
      <c r="F642" s="38" t="str">
        <f>[2]!expavg2($T$9:$T$26,I642,J642,$R$9:$R$26)</f>
        <v>ERROR: Please use BegPeriod &gt;= 1.</v>
      </c>
      <c r="H642" s="2">
        <f t="shared" si="62"/>
        <v>14</v>
      </c>
      <c r="I642" s="24">
        <f t="shared" si="66"/>
        <v>-17</v>
      </c>
      <c r="J642" s="24">
        <f t="shared" si="67"/>
        <v>15</v>
      </c>
      <c r="K642" s="17">
        <f t="shared" si="63"/>
        <v>-31</v>
      </c>
      <c r="M642" s="15">
        <f t="shared" ca="1" si="64"/>
        <v>0</v>
      </c>
      <c r="N642" s="15">
        <f t="shared" ca="1" si="65"/>
        <v>37287</v>
      </c>
      <c r="Z642" s="1"/>
    </row>
    <row r="643" spans="3:26" x14ac:dyDescent="0.2">
      <c r="C643" s="39"/>
      <c r="D643" s="39"/>
      <c r="E643" s="38">
        <f>[2]!expavg($T$9:$T$26,$R$9:$R$26,K643,H643)</f>
        <v>0.67177139323204882</v>
      </c>
      <c r="F643" s="38" t="str">
        <f>[2]!expavg2($T$9:$T$26,I643,J643,$R$9:$R$26)</f>
        <v>ERROR: Please use BegPeriod &gt;= 1.</v>
      </c>
      <c r="H643" s="2">
        <f t="shared" si="62"/>
        <v>13</v>
      </c>
      <c r="I643" s="24">
        <f t="shared" si="66"/>
        <v>-17</v>
      </c>
      <c r="J643" s="24">
        <f t="shared" si="67"/>
        <v>14</v>
      </c>
      <c r="K643" s="17">
        <f t="shared" si="63"/>
        <v>-30</v>
      </c>
      <c r="M643" s="15">
        <f t="shared" ca="1" si="64"/>
        <v>0</v>
      </c>
      <c r="N643" s="15">
        <f t="shared" ca="1" si="65"/>
        <v>37652</v>
      </c>
      <c r="Z643" s="1"/>
    </row>
    <row r="644" spans="3:26" x14ac:dyDescent="0.2">
      <c r="C644" s="39"/>
      <c r="D644" s="39"/>
      <c r="E644" s="38">
        <f>[2]!expavg($T$9:$T$26,$R$9:$R$26,K644,H644)</f>
        <v>0.66945167850810816</v>
      </c>
      <c r="F644" s="38" t="str">
        <f>[2]!expavg2($T$9:$T$26,I644,J644,$R$9:$R$26)</f>
        <v>ERROR: Please use BegPeriod &gt;= 1.</v>
      </c>
      <c r="H644" s="2">
        <f t="shared" si="62"/>
        <v>12</v>
      </c>
      <c r="I644" s="24">
        <f t="shared" si="66"/>
        <v>-17</v>
      </c>
      <c r="J644" s="24">
        <f t="shared" si="67"/>
        <v>13</v>
      </c>
      <c r="K644" s="17">
        <f t="shared" si="63"/>
        <v>-29</v>
      </c>
      <c r="M644" s="15">
        <f t="shared" ca="1" si="64"/>
        <v>0</v>
      </c>
      <c r="N644" s="15">
        <f t="shared" ca="1" si="65"/>
        <v>38017</v>
      </c>
      <c r="Z644" s="1"/>
    </row>
    <row r="645" spans="3:26" x14ac:dyDescent="0.2">
      <c r="C645" s="39"/>
      <c r="D645" s="39"/>
      <c r="E645" s="38">
        <f>[2]!expavg($T$9:$T$26,$R$9:$R$26,K645,H645)</f>
        <v>0.67904388723605558</v>
      </c>
      <c r="F645" s="38" t="str">
        <f>[2]!expavg2($T$9:$T$26,I645,J645,$R$9:$R$26)</f>
        <v>ERROR: Please use BegPeriod &gt;= 1.</v>
      </c>
      <c r="H645" s="2">
        <f t="shared" si="62"/>
        <v>11</v>
      </c>
      <c r="I645" s="24">
        <f t="shared" si="66"/>
        <v>-17</v>
      </c>
      <c r="J645" s="24">
        <f t="shared" si="67"/>
        <v>12</v>
      </c>
      <c r="K645" s="17">
        <f t="shared" si="63"/>
        <v>-28</v>
      </c>
      <c r="M645" s="15">
        <f t="shared" ca="1" si="64"/>
        <v>0</v>
      </c>
      <c r="N645" s="15">
        <f t="shared" ca="1" si="65"/>
        <v>38383</v>
      </c>
      <c r="Z645" s="1"/>
    </row>
    <row r="646" spans="3:26" x14ac:dyDescent="0.2">
      <c r="C646" s="39"/>
      <c r="D646" s="39"/>
      <c r="E646" s="38">
        <f>[2]!expavg($T$9:$T$26,$R$9:$R$26,K646,H646)</f>
        <v>0.68957279758642287</v>
      </c>
      <c r="F646" s="38" t="str">
        <f>[2]!expavg2($T$9:$T$26,I646,J646,$R$9:$R$26)</f>
        <v>ERROR: Please use BegPeriod &gt;= 1.</v>
      </c>
      <c r="H646" s="2">
        <f t="shared" si="62"/>
        <v>10</v>
      </c>
      <c r="I646" s="24">
        <f t="shared" si="66"/>
        <v>-17</v>
      </c>
      <c r="J646" s="24">
        <f t="shared" si="67"/>
        <v>11</v>
      </c>
      <c r="K646" s="17">
        <f t="shared" si="63"/>
        <v>-27</v>
      </c>
      <c r="M646" s="15">
        <f t="shared" ca="1" si="64"/>
        <v>0</v>
      </c>
      <c r="N646" s="15">
        <f t="shared" ca="1" si="65"/>
        <v>38748</v>
      </c>
      <c r="Z646" s="1"/>
    </row>
    <row r="647" spans="3:26" x14ac:dyDescent="0.2">
      <c r="C647" s="39"/>
      <c r="D647" s="39"/>
      <c r="E647" s="38">
        <f>[2]!expavg($T$9:$T$26,$R$9:$R$26,K647,H647)</f>
        <v>0.67160897630855276</v>
      </c>
      <c r="F647" s="38" t="str">
        <f>[2]!expavg2($T$9:$T$26,I647,J647,$R$9:$R$26)</f>
        <v>ERROR: Please use BegPeriod &gt;= 1.</v>
      </c>
      <c r="H647" s="2">
        <f t="shared" si="62"/>
        <v>9</v>
      </c>
      <c r="I647" s="24">
        <f t="shared" si="66"/>
        <v>-17</v>
      </c>
      <c r="J647" s="24">
        <f t="shared" si="67"/>
        <v>10</v>
      </c>
      <c r="K647" s="17">
        <f t="shared" si="63"/>
        <v>-26</v>
      </c>
      <c r="M647" s="15">
        <f t="shared" ca="1" si="64"/>
        <v>0</v>
      </c>
      <c r="N647" s="15">
        <f t="shared" ca="1" si="65"/>
        <v>39113</v>
      </c>
      <c r="Z647" s="1"/>
    </row>
    <row r="648" spans="3:26" x14ac:dyDescent="0.2">
      <c r="C648" s="39"/>
      <c r="D648" s="39"/>
      <c r="E648" s="38">
        <f>[2]!expavg($T$9:$T$26,$R$9:$R$26,K648,H648)</f>
        <v>0.66527157980250695</v>
      </c>
      <c r="F648" s="38" t="str">
        <f>[2]!expavg2($T$9:$T$26,I648,J648,$R$9:$R$26)</f>
        <v>ERROR: Please use BegPeriod &gt;= 1.</v>
      </c>
      <c r="H648" s="2">
        <f t="shared" si="62"/>
        <v>8</v>
      </c>
      <c r="I648" s="24">
        <f t="shared" si="66"/>
        <v>-17</v>
      </c>
      <c r="J648" s="24">
        <f t="shared" si="67"/>
        <v>9</v>
      </c>
      <c r="K648" s="17">
        <f t="shared" si="63"/>
        <v>-25</v>
      </c>
      <c r="M648" s="15">
        <f t="shared" ca="1" si="64"/>
        <v>0</v>
      </c>
      <c r="N648" s="15">
        <f t="shared" ca="1" si="65"/>
        <v>39478</v>
      </c>
      <c r="Z648" s="1"/>
    </row>
    <row r="649" spans="3:26" x14ac:dyDescent="0.2">
      <c r="C649" s="39"/>
      <c r="D649" s="39"/>
      <c r="E649" s="38">
        <f>[2]!expavg($T$9:$T$26,$R$9:$R$26,K649,H649)</f>
        <v>0.68450987024306864</v>
      </c>
      <c r="F649" s="38" t="str">
        <f>[2]!expavg2($T$9:$T$26,I649,J649,$R$9:$R$26)</f>
        <v>ERROR: Please use BegPeriod &gt;= 1.</v>
      </c>
      <c r="H649" s="2">
        <f t="shared" si="62"/>
        <v>7</v>
      </c>
      <c r="I649" s="24">
        <f t="shared" si="66"/>
        <v>-17</v>
      </c>
      <c r="J649" s="24">
        <f t="shared" si="67"/>
        <v>8</v>
      </c>
      <c r="K649" s="17">
        <f t="shared" si="63"/>
        <v>-24</v>
      </c>
      <c r="M649" s="15">
        <f t="shared" ca="1" si="64"/>
        <v>0</v>
      </c>
      <c r="N649" s="15">
        <f t="shared" ca="1" si="65"/>
        <v>39844</v>
      </c>
      <c r="Z649" s="1"/>
    </row>
    <row r="650" spans="3:26" x14ac:dyDescent="0.2">
      <c r="C650" s="39"/>
      <c r="D650" s="39"/>
      <c r="E650" s="38">
        <f>[2]!expavg($T$9:$T$26,$R$9:$R$26,K650,H650)</f>
        <v>0.67627397338659268</v>
      </c>
      <c r="F650" s="38" t="str">
        <f>[2]!expavg2($T$9:$T$26,I650,J650,$R$9:$R$26)</f>
        <v>ERROR: Please use BegPeriod &gt;= 1.</v>
      </c>
      <c r="H650" s="2">
        <f t="shared" si="62"/>
        <v>6</v>
      </c>
      <c r="I650" s="24">
        <f t="shared" si="66"/>
        <v>-17</v>
      </c>
      <c r="J650" s="24">
        <f t="shared" si="67"/>
        <v>7</v>
      </c>
      <c r="K650" s="17">
        <f t="shared" si="63"/>
        <v>-23</v>
      </c>
      <c r="M650" s="15">
        <f t="shared" ca="1" si="64"/>
        <v>0</v>
      </c>
      <c r="N650" s="15">
        <f t="shared" ca="1" si="65"/>
        <v>40209</v>
      </c>
      <c r="Z650" s="1"/>
    </row>
    <row r="651" spans="3:26" x14ac:dyDescent="0.2">
      <c r="C651" s="39"/>
      <c r="D651" s="39"/>
      <c r="E651" s="38">
        <f>[2]!expavg($T$9:$T$26,$R$9:$R$26,K651,H651)</f>
        <v>0.66006899259190965</v>
      </c>
      <c r="F651" s="38" t="str">
        <f>[2]!expavg2($T$9:$T$26,I651,J651,$R$9:$R$26)</f>
        <v>ERROR: Please use BegPeriod &gt;= 1.</v>
      </c>
      <c r="H651" s="2">
        <f t="shared" si="62"/>
        <v>5</v>
      </c>
      <c r="I651" s="24">
        <f t="shared" si="66"/>
        <v>-17</v>
      </c>
      <c r="J651" s="24">
        <f t="shared" si="67"/>
        <v>6</v>
      </c>
      <c r="K651" s="17">
        <f t="shared" si="63"/>
        <v>-22</v>
      </c>
      <c r="M651" s="15">
        <f t="shared" ca="1" si="64"/>
        <v>0</v>
      </c>
      <c r="N651" s="15">
        <f t="shared" ca="1" si="65"/>
        <v>40574</v>
      </c>
      <c r="Z651" s="1"/>
    </row>
    <row r="652" spans="3:26" x14ac:dyDescent="0.2">
      <c r="C652" s="39"/>
      <c r="D652" s="39"/>
      <c r="E652" s="38">
        <f>[2]!expavg($T$9:$T$26,$R$9:$R$26,K652,H652)</f>
        <v>0.64048216018789683</v>
      </c>
      <c r="F652" s="38" t="str">
        <f>[2]!expavg2($T$9:$T$26,I652,J652,$R$9:$R$26)</f>
        <v>ERROR: Please use BegPeriod &gt;= 1.</v>
      </c>
      <c r="H652" s="2">
        <f t="shared" si="62"/>
        <v>4</v>
      </c>
      <c r="I652" s="24">
        <f t="shared" si="66"/>
        <v>-17</v>
      </c>
      <c r="J652" s="24">
        <f t="shared" si="67"/>
        <v>5</v>
      </c>
      <c r="K652" s="17">
        <f t="shared" si="63"/>
        <v>-21</v>
      </c>
      <c r="M652" s="15">
        <f t="shared" ca="1" si="64"/>
        <v>0</v>
      </c>
      <c r="N652" s="15">
        <f t="shared" ca="1" si="65"/>
        <v>40939</v>
      </c>
      <c r="Z652" s="1"/>
    </row>
    <row r="653" spans="3:26" x14ac:dyDescent="0.2">
      <c r="C653" s="39"/>
      <c r="D653" s="39"/>
      <c r="E653" s="38">
        <f>[2]!expavg($T$9:$T$26,$R$9:$R$26,K653,H653)</f>
        <v>0.62815488340610859</v>
      </c>
      <c r="F653" s="38" t="str">
        <f>[2]!expavg2($T$9:$T$26,I653,J653,$R$9:$R$26)</f>
        <v>ERROR: Please use BegPeriod &gt;= 1.</v>
      </c>
      <c r="H653" s="2">
        <f t="shared" si="62"/>
        <v>3</v>
      </c>
      <c r="I653" s="24">
        <f t="shared" si="66"/>
        <v>-17</v>
      </c>
      <c r="J653" s="24">
        <f t="shared" si="67"/>
        <v>4</v>
      </c>
      <c r="K653" s="17">
        <f t="shared" si="63"/>
        <v>-20</v>
      </c>
      <c r="M653" s="15">
        <f t="shared" ca="1" si="64"/>
        <v>0</v>
      </c>
      <c r="N653" s="15">
        <f t="shared" ca="1" si="65"/>
        <v>41305</v>
      </c>
      <c r="Z653" s="1"/>
    </row>
    <row r="654" spans="3:26" x14ac:dyDescent="0.2">
      <c r="C654" s="39"/>
      <c r="D654" s="39"/>
      <c r="E654" s="38">
        <f>[2]!expavg($T$9:$T$26,$R$9:$R$26,K654,H654)</f>
        <v>0.62040838094689943</v>
      </c>
      <c r="F654" s="38" t="str">
        <f>[2]!expavg2($T$9:$T$26,I654,J654,$R$9:$R$26)</f>
        <v>ERROR: Please use BegPeriod &gt;= 1.</v>
      </c>
      <c r="H654" s="2">
        <f t="shared" si="62"/>
        <v>2</v>
      </c>
      <c r="I654" s="24">
        <f t="shared" si="66"/>
        <v>-17</v>
      </c>
      <c r="J654" s="24">
        <f t="shared" si="67"/>
        <v>3</v>
      </c>
      <c r="K654" s="17">
        <f t="shared" si="63"/>
        <v>-19</v>
      </c>
      <c r="M654" s="15">
        <f t="shared" ca="1" si="64"/>
        <v>0</v>
      </c>
      <c r="N654" s="15">
        <f t="shared" ca="1" si="65"/>
        <v>41670</v>
      </c>
      <c r="Z654" s="1"/>
    </row>
    <row r="655" spans="3:26" x14ac:dyDescent="0.2">
      <c r="C655" s="39"/>
      <c r="D655" s="39"/>
      <c r="E655" s="38">
        <f>[2]!expavg($T$9:$T$26,$R$9:$R$26,K655,H655)</f>
        <v>0.60752408974439076</v>
      </c>
      <c r="F655" s="38" t="str">
        <f>[2]!expavg2($T$9:$T$26,I655,J655,$R$9:$R$26)</f>
        <v>ERROR: Please use BegPeriod &gt;= 1.</v>
      </c>
      <c r="H655" s="2">
        <f t="shared" si="62"/>
        <v>1</v>
      </c>
      <c r="I655" s="24">
        <f t="shared" si="66"/>
        <v>-17</v>
      </c>
      <c r="J655" s="24">
        <f t="shared" si="67"/>
        <v>2</v>
      </c>
      <c r="K655" s="17">
        <f t="shared" si="63"/>
        <v>-18</v>
      </c>
      <c r="M655" s="15">
        <f t="shared" ca="1" si="64"/>
        <v>0</v>
      </c>
      <c r="N655" s="15">
        <f t="shared" ca="1" si="65"/>
        <v>42035</v>
      </c>
      <c r="Z655" s="1"/>
    </row>
    <row r="656" spans="3:26" x14ac:dyDescent="0.2">
      <c r="C656" s="39"/>
      <c r="D656" s="39"/>
      <c r="E656" s="38">
        <f>[2]!expavg($T$9:$T$26,$R$9:$R$26,K656,H656)</f>
        <v>0.60472044954610527</v>
      </c>
      <c r="F656" s="38" t="str">
        <f>[2]!expavg2($T$9:$T$26,I656,J656,$R$9:$R$26)</f>
        <v>ERROR: Please use BegPeriod &gt;= 1.</v>
      </c>
      <c r="H656" s="2">
        <f t="shared" si="62"/>
        <v>0</v>
      </c>
      <c r="I656" s="24">
        <f t="shared" si="66"/>
        <v>-17</v>
      </c>
      <c r="J656" s="24">
        <f t="shared" si="67"/>
        <v>1</v>
      </c>
      <c r="K656" s="17">
        <f t="shared" si="63"/>
        <v>-17</v>
      </c>
      <c r="M656" s="15">
        <f t="shared" ca="1" si="64"/>
        <v>0</v>
      </c>
      <c r="N656" s="15">
        <f t="shared" ca="1" si="65"/>
        <v>42400</v>
      </c>
      <c r="Z656" s="1"/>
    </row>
    <row r="657" spans="3:26" x14ac:dyDescent="0.2">
      <c r="C657" s="39"/>
      <c r="D657" s="39"/>
      <c r="E657" s="38">
        <f>[2]!expavg($T$9:$T$26,$R$9:$R$26,K657,H657)</f>
        <v>0.60472044954610527</v>
      </c>
      <c r="F657" s="38" t="str">
        <f>[2]!expavg2($T$9:$T$26,I657,J657,$R$9:$R$26)</f>
        <v>ERROR: Please use BegPeriod &gt;= 1.</v>
      </c>
      <c r="H657" s="2">
        <f t="shared" si="62"/>
        <v>-1</v>
      </c>
      <c r="I657" s="24">
        <f t="shared" si="66"/>
        <v>-17</v>
      </c>
      <c r="J657" s="24">
        <f t="shared" si="67"/>
        <v>0</v>
      </c>
      <c r="K657" s="17">
        <f t="shared" si="63"/>
        <v>-16</v>
      </c>
      <c r="M657" s="15">
        <f t="shared" ca="1" si="64"/>
        <v>0</v>
      </c>
      <c r="N657" s="15">
        <f t="shared" ca="1" si="65"/>
        <v>0</v>
      </c>
      <c r="Z657" s="1"/>
    </row>
    <row r="658" spans="3:26" x14ac:dyDescent="0.2">
      <c r="C658" s="39"/>
      <c r="D658" s="39"/>
      <c r="E658" s="38">
        <f>[2]!expavg($T$9:$T$26,$R$9:$R$26,K658,H658)</f>
        <v>0.60472044954610527</v>
      </c>
      <c r="F658" s="38" t="str">
        <f>[2]!expavg2($T$9:$T$26,I658,J658,$R$9:$R$26)</f>
        <v>ERROR: Please use BegPeriod &gt;= 1.</v>
      </c>
      <c r="H658" s="2">
        <f t="shared" si="62"/>
        <v>-2</v>
      </c>
      <c r="I658" s="24">
        <f t="shared" si="66"/>
        <v>-17</v>
      </c>
      <c r="J658" s="24">
        <f t="shared" si="67"/>
        <v>-1</v>
      </c>
      <c r="K658" s="17">
        <f t="shared" si="63"/>
        <v>-15</v>
      </c>
      <c r="M658" s="15">
        <f t="shared" ca="1" si="64"/>
        <v>0</v>
      </c>
      <c r="N658" s="15">
        <f t="shared" ca="1" si="65"/>
        <v>0</v>
      </c>
      <c r="Z658" s="1"/>
    </row>
    <row r="659" spans="3:26" x14ac:dyDescent="0.2">
      <c r="C659" s="39"/>
      <c r="D659" s="39"/>
      <c r="E659" s="38">
        <f>[2]!expavg($T$9:$T$26,$R$9:$R$26,K659,H659)</f>
        <v>0.70939186407915755</v>
      </c>
      <c r="F659" s="38" t="str">
        <f>[2]!expavg2($T$9:$T$26,I659,J659,$R$9:$R$26)</f>
        <v>ERROR: Please use BegPeriod &gt;= 1.</v>
      </c>
      <c r="H659" s="2">
        <f t="shared" si="62"/>
        <v>14</v>
      </c>
      <c r="I659" s="24">
        <f t="shared" si="66"/>
        <v>-18</v>
      </c>
      <c r="J659" s="24">
        <f t="shared" si="67"/>
        <v>15</v>
      </c>
      <c r="K659" s="17">
        <f t="shared" si="63"/>
        <v>-32</v>
      </c>
      <c r="M659" s="15">
        <f t="shared" ca="1" si="64"/>
        <v>0</v>
      </c>
      <c r="N659" s="15">
        <f t="shared" ca="1" si="65"/>
        <v>37287</v>
      </c>
      <c r="Z659" s="1"/>
    </row>
    <row r="660" spans="3:26" x14ac:dyDescent="0.2">
      <c r="C660" s="39"/>
      <c r="D660" s="39"/>
      <c r="E660" s="38">
        <f>[2]!expavg($T$9:$T$26,$R$9:$R$26,K660,H660)</f>
        <v>0.67177139323204882</v>
      </c>
      <c r="F660" s="38" t="str">
        <f>[2]!expavg2($T$9:$T$26,I660,J660,$R$9:$R$26)</f>
        <v>ERROR: Please use BegPeriod &gt;= 1.</v>
      </c>
      <c r="H660" s="2">
        <f t="shared" si="62"/>
        <v>13</v>
      </c>
      <c r="I660" s="24">
        <f t="shared" si="66"/>
        <v>-18</v>
      </c>
      <c r="J660" s="24">
        <f t="shared" si="67"/>
        <v>14</v>
      </c>
      <c r="K660" s="17">
        <f t="shared" si="63"/>
        <v>-31</v>
      </c>
      <c r="M660" s="15">
        <f t="shared" ca="1" si="64"/>
        <v>0</v>
      </c>
      <c r="N660" s="15">
        <f t="shared" ca="1" si="65"/>
        <v>37652</v>
      </c>
      <c r="Z660" s="1"/>
    </row>
    <row r="661" spans="3:26" x14ac:dyDescent="0.2">
      <c r="C661" s="39"/>
      <c r="D661" s="39"/>
      <c r="E661" s="38">
        <f>[2]!expavg($T$9:$T$26,$R$9:$R$26,K661,H661)</f>
        <v>0.66945167850810816</v>
      </c>
      <c r="F661" s="38" t="str">
        <f>[2]!expavg2($T$9:$T$26,I661,J661,$R$9:$R$26)</f>
        <v>ERROR: Please use BegPeriod &gt;= 1.</v>
      </c>
      <c r="H661" s="2">
        <f t="shared" si="62"/>
        <v>12</v>
      </c>
      <c r="I661" s="24">
        <f t="shared" si="66"/>
        <v>-18</v>
      </c>
      <c r="J661" s="24">
        <f t="shared" si="67"/>
        <v>13</v>
      </c>
      <c r="K661" s="17">
        <f t="shared" si="63"/>
        <v>-30</v>
      </c>
      <c r="M661" s="15">
        <f t="shared" ca="1" si="64"/>
        <v>0</v>
      </c>
      <c r="N661" s="15">
        <f t="shared" ca="1" si="65"/>
        <v>38017</v>
      </c>
      <c r="Z661" s="1"/>
    </row>
    <row r="662" spans="3:26" x14ac:dyDescent="0.2">
      <c r="C662" s="39"/>
      <c r="D662" s="39"/>
      <c r="E662" s="38">
        <f>[2]!expavg($T$9:$T$26,$R$9:$R$26,K662,H662)</f>
        <v>0.67904388723605558</v>
      </c>
      <c r="F662" s="38" t="str">
        <f>[2]!expavg2($T$9:$T$26,I662,J662,$R$9:$R$26)</f>
        <v>ERROR: Please use BegPeriod &gt;= 1.</v>
      </c>
      <c r="H662" s="2">
        <f t="shared" si="62"/>
        <v>11</v>
      </c>
      <c r="I662" s="24">
        <f t="shared" si="66"/>
        <v>-18</v>
      </c>
      <c r="J662" s="24">
        <f t="shared" si="67"/>
        <v>12</v>
      </c>
      <c r="K662" s="17">
        <f t="shared" si="63"/>
        <v>-29</v>
      </c>
      <c r="M662" s="15">
        <f t="shared" ca="1" si="64"/>
        <v>0</v>
      </c>
      <c r="N662" s="15">
        <f t="shared" ca="1" si="65"/>
        <v>38383</v>
      </c>
      <c r="Z662" s="1"/>
    </row>
    <row r="663" spans="3:26" x14ac:dyDescent="0.2">
      <c r="C663" s="39"/>
      <c r="D663" s="39"/>
      <c r="E663" s="38">
        <f>[2]!expavg($T$9:$T$26,$R$9:$R$26,K663,H663)</f>
        <v>0.68957279758642287</v>
      </c>
      <c r="F663" s="38" t="str">
        <f>[2]!expavg2($T$9:$T$26,I663,J663,$R$9:$R$26)</f>
        <v>ERROR: Please use BegPeriod &gt;= 1.</v>
      </c>
      <c r="H663" s="2">
        <f t="shared" si="62"/>
        <v>10</v>
      </c>
      <c r="I663" s="24">
        <f t="shared" si="66"/>
        <v>-18</v>
      </c>
      <c r="J663" s="24">
        <f t="shared" si="67"/>
        <v>11</v>
      </c>
      <c r="K663" s="17">
        <f t="shared" si="63"/>
        <v>-28</v>
      </c>
      <c r="M663" s="15">
        <f t="shared" ca="1" si="64"/>
        <v>0</v>
      </c>
      <c r="N663" s="15">
        <f t="shared" ca="1" si="65"/>
        <v>38748</v>
      </c>
      <c r="Z663" s="1"/>
    </row>
    <row r="664" spans="3:26" x14ac:dyDescent="0.2">
      <c r="C664" s="39"/>
      <c r="D664" s="39"/>
      <c r="E664" s="38">
        <f>[2]!expavg($T$9:$T$26,$R$9:$R$26,K664,H664)</f>
        <v>0.67160897630855276</v>
      </c>
      <c r="F664" s="38" t="str">
        <f>[2]!expavg2($T$9:$T$26,I664,J664,$R$9:$R$26)</f>
        <v>ERROR: Please use BegPeriod &gt;= 1.</v>
      </c>
      <c r="H664" s="2">
        <f t="shared" si="62"/>
        <v>9</v>
      </c>
      <c r="I664" s="24">
        <f t="shared" si="66"/>
        <v>-18</v>
      </c>
      <c r="J664" s="24">
        <f t="shared" si="67"/>
        <v>10</v>
      </c>
      <c r="K664" s="17">
        <f t="shared" si="63"/>
        <v>-27</v>
      </c>
      <c r="M664" s="15">
        <f t="shared" ca="1" si="64"/>
        <v>0</v>
      </c>
      <c r="N664" s="15">
        <f t="shared" ca="1" si="65"/>
        <v>39113</v>
      </c>
      <c r="Z664" s="1"/>
    </row>
    <row r="665" spans="3:26" x14ac:dyDescent="0.2">
      <c r="C665" s="39"/>
      <c r="D665" s="39"/>
      <c r="E665" s="38">
        <f>[2]!expavg($T$9:$T$26,$R$9:$R$26,K665,H665)</f>
        <v>0.66527157980250695</v>
      </c>
      <c r="F665" s="38" t="str">
        <f>[2]!expavg2($T$9:$T$26,I665,J665,$R$9:$R$26)</f>
        <v>ERROR: Please use BegPeriod &gt;= 1.</v>
      </c>
      <c r="H665" s="2">
        <f t="shared" si="62"/>
        <v>8</v>
      </c>
      <c r="I665" s="24">
        <f t="shared" si="66"/>
        <v>-18</v>
      </c>
      <c r="J665" s="24">
        <f t="shared" si="67"/>
        <v>9</v>
      </c>
      <c r="K665" s="17">
        <f t="shared" si="63"/>
        <v>-26</v>
      </c>
      <c r="M665" s="15">
        <f t="shared" ca="1" si="64"/>
        <v>0</v>
      </c>
      <c r="N665" s="15">
        <f t="shared" ca="1" si="65"/>
        <v>39478</v>
      </c>
      <c r="Z665" s="1"/>
    </row>
    <row r="666" spans="3:26" x14ac:dyDescent="0.2">
      <c r="C666" s="39"/>
      <c r="D666" s="39"/>
      <c r="E666" s="38">
        <f>[2]!expavg($T$9:$T$26,$R$9:$R$26,K666,H666)</f>
        <v>0.68450987024306864</v>
      </c>
      <c r="F666" s="38" t="str">
        <f>[2]!expavg2($T$9:$T$26,I666,J666,$R$9:$R$26)</f>
        <v>ERROR: Please use BegPeriod &gt;= 1.</v>
      </c>
      <c r="H666" s="2">
        <f t="shared" si="62"/>
        <v>7</v>
      </c>
      <c r="I666" s="24">
        <f t="shared" si="66"/>
        <v>-18</v>
      </c>
      <c r="J666" s="24">
        <f t="shared" si="67"/>
        <v>8</v>
      </c>
      <c r="K666" s="17">
        <f t="shared" si="63"/>
        <v>-25</v>
      </c>
      <c r="M666" s="15">
        <f t="shared" ca="1" si="64"/>
        <v>0</v>
      </c>
      <c r="N666" s="15">
        <f t="shared" ca="1" si="65"/>
        <v>39844</v>
      </c>
      <c r="Z666" s="1"/>
    </row>
    <row r="667" spans="3:26" x14ac:dyDescent="0.2">
      <c r="C667" s="39"/>
      <c r="D667" s="39"/>
      <c r="E667" s="38">
        <f>[2]!expavg($T$9:$T$26,$R$9:$R$26,K667,H667)</f>
        <v>0.67627397338659268</v>
      </c>
      <c r="F667" s="38" t="str">
        <f>[2]!expavg2($T$9:$T$26,I667,J667,$R$9:$R$26)</f>
        <v>ERROR: Please use BegPeriod &gt;= 1.</v>
      </c>
      <c r="H667" s="2">
        <f t="shared" si="62"/>
        <v>6</v>
      </c>
      <c r="I667" s="24">
        <f t="shared" si="66"/>
        <v>-18</v>
      </c>
      <c r="J667" s="24">
        <f t="shared" si="67"/>
        <v>7</v>
      </c>
      <c r="K667" s="17">
        <f t="shared" si="63"/>
        <v>-24</v>
      </c>
      <c r="M667" s="15">
        <f t="shared" ca="1" si="64"/>
        <v>0</v>
      </c>
      <c r="N667" s="15">
        <f t="shared" ca="1" si="65"/>
        <v>40209</v>
      </c>
      <c r="Z667" s="1"/>
    </row>
    <row r="668" spans="3:26" x14ac:dyDescent="0.2">
      <c r="C668" s="39"/>
      <c r="D668" s="39"/>
      <c r="E668" s="38">
        <f>[2]!expavg($T$9:$T$26,$R$9:$R$26,K668,H668)</f>
        <v>0.66006899259190965</v>
      </c>
      <c r="F668" s="38" t="str">
        <f>[2]!expavg2($T$9:$T$26,I668,J668,$R$9:$R$26)</f>
        <v>ERROR: Please use BegPeriod &gt;= 1.</v>
      </c>
      <c r="H668" s="2">
        <f t="shared" si="62"/>
        <v>5</v>
      </c>
      <c r="I668" s="24">
        <f t="shared" si="66"/>
        <v>-18</v>
      </c>
      <c r="J668" s="24">
        <f t="shared" si="67"/>
        <v>6</v>
      </c>
      <c r="K668" s="17">
        <f t="shared" si="63"/>
        <v>-23</v>
      </c>
      <c r="M668" s="15">
        <f t="shared" ca="1" si="64"/>
        <v>0</v>
      </c>
      <c r="N668" s="15">
        <f t="shared" ca="1" si="65"/>
        <v>40574</v>
      </c>
      <c r="Z668" s="1"/>
    </row>
    <row r="669" spans="3:26" x14ac:dyDescent="0.2">
      <c r="C669" s="39"/>
      <c r="D669" s="39"/>
      <c r="E669" s="38">
        <f>[2]!expavg($T$9:$T$26,$R$9:$R$26,K669,H669)</f>
        <v>0.64048216018789683</v>
      </c>
      <c r="F669" s="38" t="str">
        <f>[2]!expavg2($T$9:$T$26,I669,J669,$R$9:$R$26)</f>
        <v>ERROR: Please use BegPeriod &gt;= 1.</v>
      </c>
      <c r="H669" s="2">
        <f t="shared" si="62"/>
        <v>4</v>
      </c>
      <c r="I669" s="24">
        <f t="shared" si="66"/>
        <v>-18</v>
      </c>
      <c r="J669" s="24">
        <f t="shared" si="67"/>
        <v>5</v>
      </c>
      <c r="K669" s="17">
        <f t="shared" si="63"/>
        <v>-22</v>
      </c>
      <c r="M669" s="15">
        <f t="shared" ca="1" si="64"/>
        <v>0</v>
      </c>
      <c r="N669" s="15">
        <f t="shared" ca="1" si="65"/>
        <v>40939</v>
      </c>
      <c r="Z669" s="1"/>
    </row>
    <row r="670" spans="3:26" x14ac:dyDescent="0.2">
      <c r="C670" s="39"/>
      <c r="D670" s="39"/>
      <c r="E670" s="38">
        <f>[2]!expavg($T$9:$T$26,$R$9:$R$26,K670,H670)</f>
        <v>0.62815488340610859</v>
      </c>
      <c r="F670" s="38" t="str">
        <f>[2]!expavg2($T$9:$T$26,I670,J670,$R$9:$R$26)</f>
        <v>ERROR: Please use BegPeriod &gt;= 1.</v>
      </c>
      <c r="H670" s="2">
        <f t="shared" si="62"/>
        <v>3</v>
      </c>
      <c r="I670" s="24">
        <f t="shared" si="66"/>
        <v>-18</v>
      </c>
      <c r="J670" s="24">
        <f t="shared" si="67"/>
        <v>4</v>
      </c>
      <c r="K670" s="17">
        <f t="shared" si="63"/>
        <v>-21</v>
      </c>
      <c r="M670" s="15">
        <f t="shared" ca="1" si="64"/>
        <v>0</v>
      </c>
      <c r="N670" s="15">
        <f t="shared" ca="1" si="65"/>
        <v>41305</v>
      </c>
      <c r="Z670" s="1"/>
    </row>
    <row r="671" spans="3:26" x14ac:dyDescent="0.2">
      <c r="C671" s="39"/>
      <c r="D671" s="39"/>
      <c r="E671" s="38">
        <f>[2]!expavg($T$9:$T$26,$R$9:$R$26,K671,H671)</f>
        <v>0.62040838094689943</v>
      </c>
      <c r="F671" s="38" t="str">
        <f>[2]!expavg2($T$9:$T$26,I671,J671,$R$9:$R$26)</f>
        <v>ERROR: Please use BegPeriod &gt;= 1.</v>
      </c>
      <c r="H671" s="2">
        <f t="shared" si="62"/>
        <v>2</v>
      </c>
      <c r="I671" s="24">
        <f t="shared" si="66"/>
        <v>-18</v>
      </c>
      <c r="J671" s="24">
        <f t="shared" si="67"/>
        <v>3</v>
      </c>
      <c r="K671" s="17">
        <f t="shared" si="63"/>
        <v>-20</v>
      </c>
      <c r="M671" s="15">
        <f t="shared" ca="1" si="64"/>
        <v>0</v>
      </c>
      <c r="N671" s="15">
        <f t="shared" ca="1" si="65"/>
        <v>41670</v>
      </c>
      <c r="Z671" s="1"/>
    </row>
    <row r="672" spans="3:26" x14ac:dyDescent="0.2">
      <c r="C672" s="39"/>
      <c r="D672" s="39"/>
      <c r="E672" s="38">
        <f>[2]!expavg($T$9:$T$26,$R$9:$R$26,K672,H672)</f>
        <v>0.60752408974439076</v>
      </c>
      <c r="F672" s="38" t="str">
        <f>[2]!expavg2($T$9:$T$26,I672,J672,$R$9:$R$26)</f>
        <v>ERROR: Please use BegPeriod &gt;= 1.</v>
      </c>
      <c r="H672" s="2">
        <f t="shared" si="62"/>
        <v>1</v>
      </c>
      <c r="I672" s="24">
        <f t="shared" si="66"/>
        <v>-18</v>
      </c>
      <c r="J672" s="24">
        <f t="shared" si="67"/>
        <v>2</v>
      </c>
      <c r="K672" s="17">
        <f t="shared" si="63"/>
        <v>-19</v>
      </c>
      <c r="M672" s="15">
        <f t="shared" ca="1" si="64"/>
        <v>0</v>
      </c>
      <c r="N672" s="15">
        <f t="shared" ca="1" si="65"/>
        <v>42035</v>
      </c>
      <c r="Z672" s="1"/>
    </row>
    <row r="673" spans="3:26" x14ac:dyDescent="0.2">
      <c r="C673" s="39"/>
      <c r="D673" s="39"/>
      <c r="E673" s="38">
        <f>[2]!expavg($T$9:$T$26,$R$9:$R$26,K673,H673)</f>
        <v>0.60472044954610527</v>
      </c>
      <c r="F673" s="38" t="str">
        <f>[2]!expavg2($T$9:$T$26,I673,J673,$R$9:$R$26)</f>
        <v>ERROR: Please use BegPeriod &gt;= 1.</v>
      </c>
      <c r="H673" s="2">
        <f t="shared" si="62"/>
        <v>0</v>
      </c>
      <c r="I673" s="24">
        <f t="shared" si="66"/>
        <v>-18</v>
      </c>
      <c r="J673" s="24">
        <f t="shared" si="67"/>
        <v>1</v>
      </c>
      <c r="K673" s="17">
        <f t="shared" si="63"/>
        <v>-18</v>
      </c>
      <c r="M673" s="15">
        <f t="shared" ca="1" si="64"/>
        <v>0</v>
      </c>
      <c r="N673" s="15">
        <f t="shared" ca="1" si="65"/>
        <v>42400</v>
      </c>
      <c r="Z673" s="1"/>
    </row>
    <row r="674" spans="3:26" x14ac:dyDescent="0.2">
      <c r="C674" s="39"/>
      <c r="D674" s="39"/>
      <c r="E674" s="38">
        <f>[2]!expavg($T$9:$T$26,$R$9:$R$26,K674,H674)</f>
        <v>0.60472044954610527</v>
      </c>
      <c r="F674" s="38" t="str">
        <f>[2]!expavg2($T$9:$T$26,I674,J674,$R$9:$R$26)</f>
        <v>ERROR: Please use BegPeriod &gt;= 1.</v>
      </c>
      <c r="H674" s="2">
        <f t="shared" si="62"/>
        <v>-1</v>
      </c>
      <c r="I674" s="24">
        <f t="shared" si="66"/>
        <v>-18</v>
      </c>
      <c r="J674" s="24">
        <f t="shared" si="67"/>
        <v>0</v>
      </c>
      <c r="K674" s="17">
        <f t="shared" si="63"/>
        <v>-17</v>
      </c>
      <c r="M674" s="15">
        <f t="shared" ca="1" si="64"/>
        <v>0</v>
      </c>
      <c r="N674" s="15">
        <f t="shared" ca="1" si="65"/>
        <v>0</v>
      </c>
      <c r="Z674" s="1"/>
    </row>
    <row r="675" spans="3:26" x14ac:dyDescent="0.2">
      <c r="C675" s="39"/>
      <c r="D675" s="39"/>
      <c r="E675" s="38">
        <f>[2]!expavg($T$9:$T$26,$R$9:$R$26,K675,H675)</f>
        <v>0.60472044954610527</v>
      </c>
      <c r="F675" s="38" t="str">
        <f>[2]!expavg2($T$9:$T$26,I675,J675,$R$9:$R$26)</f>
        <v>ERROR: Please use BegPeriod &gt;= 1.</v>
      </c>
      <c r="H675" s="2">
        <f t="shared" si="62"/>
        <v>-2</v>
      </c>
      <c r="I675" s="24">
        <f t="shared" si="66"/>
        <v>-18</v>
      </c>
      <c r="J675" s="24">
        <f t="shared" si="67"/>
        <v>-1</v>
      </c>
      <c r="K675" s="17">
        <f t="shared" si="63"/>
        <v>-16</v>
      </c>
      <c r="M675" s="15">
        <f t="shared" ca="1" si="64"/>
        <v>0</v>
      </c>
      <c r="N675" s="15">
        <f t="shared" ca="1" si="65"/>
        <v>0</v>
      </c>
      <c r="Z675" s="1"/>
    </row>
    <row r="676" spans="3:26" x14ac:dyDescent="0.2">
      <c r="C676" s="39"/>
      <c r="D676" s="39"/>
      <c r="E676" s="38">
        <f>[2]!expavg($T$9:$T$26,$R$9:$R$26,K676,H676)</f>
        <v>0.70939186407915755</v>
      </c>
      <c r="F676" s="38" t="str">
        <f>[2]!expavg2($T$9:$T$26,I676,J676,$R$9:$R$26)</f>
        <v>ERROR: Please use BegPeriod &gt;= 1.</v>
      </c>
      <c r="H676" s="2">
        <f t="shared" si="62"/>
        <v>14</v>
      </c>
      <c r="I676" s="24">
        <f t="shared" si="66"/>
        <v>-19</v>
      </c>
      <c r="J676" s="24">
        <f t="shared" si="67"/>
        <v>15</v>
      </c>
      <c r="K676" s="17">
        <f t="shared" si="63"/>
        <v>-33</v>
      </c>
      <c r="M676" s="15">
        <f t="shared" ca="1" si="64"/>
        <v>0</v>
      </c>
      <c r="N676" s="15">
        <f t="shared" ca="1" si="65"/>
        <v>37287</v>
      </c>
      <c r="Z676" s="1"/>
    </row>
    <row r="677" spans="3:26" x14ac:dyDescent="0.2">
      <c r="C677" s="39"/>
      <c r="D677" s="39"/>
      <c r="E677" s="38">
        <f>[2]!expavg($T$9:$T$26,$R$9:$R$26,K677,H677)</f>
        <v>0.67177139323204882</v>
      </c>
      <c r="F677" s="38" t="str">
        <f>[2]!expavg2($T$9:$T$26,I677,J677,$R$9:$R$26)</f>
        <v>ERROR: Please use BegPeriod &gt;= 1.</v>
      </c>
      <c r="H677" s="2">
        <f t="shared" si="62"/>
        <v>13</v>
      </c>
      <c r="I677" s="24">
        <f t="shared" si="66"/>
        <v>-19</v>
      </c>
      <c r="J677" s="24">
        <f t="shared" si="67"/>
        <v>14</v>
      </c>
      <c r="K677" s="17">
        <f t="shared" si="63"/>
        <v>-32</v>
      </c>
      <c r="M677" s="15">
        <f t="shared" ca="1" si="64"/>
        <v>0</v>
      </c>
      <c r="N677" s="15">
        <f t="shared" ca="1" si="65"/>
        <v>37652</v>
      </c>
      <c r="Z677" s="1"/>
    </row>
    <row r="678" spans="3:26" x14ac:dyDescent="0.2">
      <c r="C678" s="39"/>
      <c r="D678" s="39"/>
      <c r="E678" s="38">
        <f>[2]!expavg($T$9:$T$26,$R$9:$R$26,K678,H678)</f>
        <v>0.66945167850810816</v>
      </c>
      <c r="F678" s="38" t="str">
        <f>[2]!expavg2($T$9:$T$26,I678,J678,$R$9:$R$26)</f>
        <v>ERROR: Please use BegPeriod &gt;= 1.</v>
      </c>
      <c r="H678" s="2">
        <f t="shared" si="62"/>
        <v>12</v>
      </c>
      <c r="I678" s="24">
        <f t="shared" si="66"/>
        <v>-19</v>
      </c>
      <c r="J678" s="24">
        <f t="shared" si="67"/>
        <v>13</v>
      </c>
      <c r="K678" s="17">
        <f t="shared" si="63"/>
        <v>-31</v>
      </c>
      <c r="M678" s="15">
        <f t="shared" ca="1" si="64"/>
        <v>0</v>
      </c>
      <c r="N678" s="15">
        <f t="shared" ca="1" si="65"/>
        <v>38017</v>
      </c>
      <c r="Z678" s="1"/>
    </row>
    <row r="679" spans="3:26" x14ac:dyDescent="0.2">
      <c r="C679" s="39"/>
      <c r="D679" s="39"/>
      <c r="E679" s="38">
        <f>[2]!expavg($T$9:$T$26,$R$9:$R$26,K679,H679)</f>
        <v>0.67904388723605558</v>
      </c>
      <c r="F679" s="38" t="str">
        <f>[2]!expavg2($T$9:$T$26,I679,J679,$R$9:$R$26)</f>
        <v>ERROR: Please use BegPeriod &gt;= 1.</v>
      </c>
      <c r="H679" s="2">
        <f t="shared" si="62"/>
        <v>11</v>
      </c>
      <c r="I679" s="24">
        <f t="shared" si="66"/>
        <v>-19</v>
      </c>
      <c r="J679" s="24">
        <f t="shared" si="67"/>
        <v>12</v>
      </c>
      <c r="K679" s="17">
        <f t="shared" si="63"/>
        <v>-30</v>
      </c>
      <c r="M679" s="15">
        <f t="shared" ca="1" si="64"/>
        <v>0</v>
      </c>
      <c r="N679" s="15">
        <f t="shared" ca="1" si="65"/>
        <v>38383</v>
      </c>
      <c r="Z679" s="1"/>
    </row>
    <row r="680" spans="3:26" x14ac:dyDescent="0.2">
      <c r="C680" s="39"/>
      <c r="D680" s="39"/>
      <c r="E680" s="38">
        <f>[2]!expavg($T$9:$T$26,$R$9:$R$26,K680,H680)</f>
        <v>0.68957279758642287</v>
      </c>
      <c r="F680" s="38" t="str">
        <f>[2]!expavg2($T$9:$T$26,I680,J680,$R$9:$R$26)</f>
        <v>ERROR: Please use BegPeriod &gt;= 1.</v>
      </c>
      <c r="H680" s="2">
        <f t="shared" si="62"/>
        <v>10</v>
      </c>
      <c r="I680" s="24">
        <f t="shared" si="66"/>
        <v>-19</v>
      </c>
      <c r="J680" s="24">
        <f t="shared" si="67"/>
        <v>11</v>
      </c>
      <c r="K680" s="17">
        <f t="shared" si="63"/>
        <v>-29</v>
      </c>
      <c r="M680" s="15">
        <f t="shared" ca="1" si="64"/>
        <v>0</v>
      </c>
      <c r="N680" s="15">
        <f t="shared" ca="1" si="65"/>
        <v>38748</v>
      </c>
      <c r="Z680" s="1"/>
    </row>
    <row r="681" spans="3:26" x14ac:dyDescent="0.2">
      <c r="C681" s="39"/>
      <c r="D681" s="39"/>
      <c r="E681" s="38">
        <f>[2]!expavg($T$9:$T$26,$R$9:$R$26,K681,H681)</f>
        <v>0.67160897630855276</v>
      </c>
      <c r="F681" s="38" t="str">
        <f>[2]!expavg2($T$9:$T$26,I681,J681,$R$9:$R$26)</f>
        <v>ERROR: Please use BegPeriod &gt;= 1.</v>
      </c>
      <c r="H681" s="2">
        <f t="shared" si="62"/>
        <v>9</v>
      </c>
      <c r="I681" s="24">
        <f t="shared" si="66"/>
        <v>-19</v>
      </c>
      <c r="J681" s="24">
        <f t="shared" si="67"/>
        <v>10</v>
      </c>
      <c r="K681" s="17">
        <f t="shared" si="63"/>
        <v>-28</v>
      </c>
      <c r="M681" s="15">
        <f t="shared" ca="1" si="64"/>
        <v>0</v>
      </c>
      <c r="N681" s="15">
        <f t="shared" ca="1" si="65"/>
        <v>39113</v>
      </c>
      <c r="Z681" s="1"/>
    </row>
    <row r="682" spans="3:26" x14ac:dyDescent="0.2">
      <c r="C682" s="39"/>
      <c r="D682" s="39"/>
      <c r="E682" s="38">
        <f>[2]!expavg($T$9:$T$26,$R$9:$R$26,K682,H682)</f>
        <v>0.66527157980250695</v>
      </c>
      <c r="F682" s="38" t="str">
        <f>[2]!expavg2($T$9:$T$26,I682,J682,$R$9:$R$26)</f>
        <v>ERROR: Please use BegPeriod &gt;= 1.</v>
      </c>
      <c r="H682" s="2">
        <f t="shared" si="62"/>
        <v>8</v>
      </c>
      <c r="I682" s="24">
        <f t="shared" si="66"/>
        <v>-19</v>
      </c>
      <c r="J682" s="24">
        <f t="shared" si="67"/>
        <v>9</v>
      </c>
      <c r="K682" s="17">
        <f t="shared" si="63"/>
        <v>-27</v>
      </c>
      <c r="M682" s="15">
        <f t="shared" ca="1" si="64"/>
        <v>0</v>
      </c>
      <c r="N682" s="15">
        <f t="shared" ca="1" si="65"/>
        <v>39478</v>
      </c>
      <c r="Z682" s="1"/>
    </row>
    <row r="683" spans="3:26" x14ac:dyDescent="0.2">
      <c r="C683" s="39"/>
      <c r="D683" s="39"/>
      <c r="E683" s="38">
        <f>[2]!expavg($T$9:$T$26,$R$9:$R$26,K683,H683)</f>
        <v>0.68450987024306864</v>
      </c>
      <c r="F683" s="38" t="str">
        <f>[2]!expavg2($T$9:$T$26,I683,J683,$R$9:$R$26)</f>
        <v>ERROR: Please use BegPeriod &gt;= 1.</v>
      </c>
      <c r="H683" s="2">
        <f t="shared" si="62"/>
        <v>7</v>
      </c>
      <c r="I683" s="24">
        <f t="shared" si="66"/>
        <v>-19</v>
      </c>
      <c r="J683" s="24">
        <f t="shared" si="67"/>
        <v>8</v>
      </c>
      <c r="K683" s="17">
        <f t="shared" si="63"/>
        <v>-26</v>
      </c>
      <c r="M683" s="15">
        <f t="shared" ca="1" si="64"/>
        <v>0</v>
      </c>
      <c r="N683" s="15">
        <f t="shared" ca="1" si="65"/>
        <v>39844</v>
      </c>
      <c r="Z683" s="1"/>
    </row>
    <row r="684" spans="3:26" x14ac:dyDescent="0.2">
      <c r="C684" s="39"/>
      <c r="D684" s="39"/>
      <c r="E684" s="38">
        <f>[2]!expavg($T$9:$T$26,$R$9:$R$26,K684,H684)</f>
        <v>0.67627397338659268</v>
      </c>
      <c r="F684" s="38" t="str">
        <f>[2]!expavg2($T$9:$T$26,I684,J684,$R$9:$R$26)</f>
        <v>ERROR: Please use BegPeriod &gt;= 1.</v>
      </c>
      <c r="H684" s="2">
        <f t="shared" si="62"/>
        <v>6</v>
      </c>
      <c r="I684" s="24">
        <f t="shared" si="66"/>
        <v>-19</v>
      </c>
      <c r="J684" s="24">
        <f t="shared" si="67"/>
        <v>7</v>
      </c>
      <c r="K684" s="17">
        <f t="shared" si="63"/>
        <v>-25</v>
      </c>
      <c r="M684" s="15">
        <f t="shared" ca="1" si="64"/>
        <v>0</v>
      </c>
      <c r="N684" s="15">
        <f t="shared" ca="1" si="65"/>
        <v>40209</v>
      </c>
      <c r="Z684" s="1"/>
    </row>
    <row r="685" spans="3:26" x14ac:dyDescent="0.2">
      <c r="C685" s="39"/>
      <c r="D685" s="39"/>
      <c r="E685" s="38">
        <f>[2]!expavg($T$9:$T$26,$R$9:$R$26,K685,H685)</f>
        <v>0.66006899259190965</v>
      </c>
      <c r="F685" s="38" t="str">
        <f>[2]!expavg2($T$9:$T$26,I685,J685,$R$9:$R$26)</f>
        <v>ERROR: Please use BegPeriod &gt;= 1.</v>
      </c>
      <c r="H685" s="2">
        <f t="shared" si="62"/>
        <v>5</v>
      </c>
      <c r="I685" s="24">
        <f t="shared" si="66"/>
        <v>-19</v>
      </c>
      <c r="J685" s="24">
        <f t="shared" si="67"/>
        <v>6</v>
      </c>
      <c r="K685" s="17">
        <f t="shared" si="63"/>
        <v>-24</v>
      </c>
      <c r="M685" s="15">
        <f t="shared" ca="1" si="64"/>
        <v>0</v>
      </c>
      <c r="N685" s="15">
        <f t="shared" ca="1" si="65"/>
        <v>40574</v>
      </c>
      <c r="Z685" s="1"/>
    </row>
    <row r="686" spans="3:26" x14ac:dyDescent="0.2">
      <c r="C686" s="39"/>
      <c r="D686" s="39"/>
      <c r="E686" s="38">
        <f>[2]!expavg($T$9:$T$26,$R$9:$R$26,K686,H686)</f>
        <v>0.64048216018789683</v>
      </c>
      <c r="F686" s="38" t="str">
        <f>[2]!expavg2($T$9:$T$26,I686,J686,$R$9:$R$26)</f>
        <v>ERROR: Please use BegPeriod &gt;= 1.</v>
      </c>
      <c r="H686" s="2">
        <f t="shared" si="62"/>
        <v>4</v>
      </c>
      <c r="I686" s="24">
        <f t="shared" si="66"/>
        <v>-19</v>
      </c>
      <c r="J686" s="24">
        <f t="shared" si="67"/>
        <v>5</v>
      </c>
      <c r="K686" s="17">
        <f t="shared" si="63"/>
        <v>-23</v>
      </c>
      <c r="M686" s="15">
        <f t="shared" ca="1" si="64"/>
        <v>0</v>
      </c>
      <c r="N686" s="15">
        <f t="shared" ca="1" si="65"/>
        <v>40939</v>
      </c>
      <c r="Z686" s="1"/>
    </row>
    <row r="687" spans="3:26" x14ac:dyDescent="0.2">
      <c r="C687" s="39"/>
      <c r="D687" s="39"/>
      <c r="E687" s="38">
        <f>[2]!expavg($T$9:$T$26,$R$9:$R$26,K687,H687)</f>
        <v>0.62815488340610859</v>
      </c>
      <c r="F687" s="38" t="str">
        <f>[2]!expavg2($T$9:$T$26,I687,J687,$R$9:$R$26)</f>
        <v>ERROR: Please use BegPeriod &gt;= 1.</v>
      </c>
      <c r="H687" s="2">
        <f t="shared" si="62"/>
        <v>3</v>
      </c>
      <c r="I687" s="24">
        <f t="shared" si="66"/>
        <v>-19</v>
      </c>
      <c r="J687" s="24">
        <f t="shared" si="67"/>
        <v>4</v>
      </c>
      <c r="K687" s="17">
        <f t="shared" si="63"/>
        <v>-22</v>
      </c>
      <c r="M687" s="15">
        <f t="shared" ca="1" si="64"/>
        <v>0</v>
      </c>
      <c r="N687" s="15">
        <f t="shared" ca="1" si="65"/>
        <v>41305</v>
      </c>
      <c r="Z687" s="1"/>
    </row>
    <row r="688" spans="3:26" x14ac:dyDescent="0.2">
      <c r="C688" s="39"/>
      <c r="D688" s="39"/>
      <c r="E688" s="38">
        <f>[2]!expavg($T$9:$T$26,$R$9:$R$26,K688,H688)</f>
        <v>0.62040838094689943</v>
      </c>
      <c r="F688" s="38" t="str">
        <f>[2]!expavg2($T$9:$T$26,I688,J688,$R$9:$R$26)</f>
        <v>ERROR: Please use BegPeriod &gt;= 1.</v>
      </c>
      <c r="H688" s="2">
        <f t="shared" ref="H688:H751" si="68">J688-1</f>
        <v>2</v>
      </c>
      <c r="I688" s="24">
        <f t="shared" si="66"/>
        <v>-19</v>
      </c>
      <c r="J688" s="24">
        <f t="shared" si="67"/>
        <v>3</v>
      </c>
      <c r="K688" s="17">
        <f t="shared" ref="K688:K751" si="69">I688-J688+1</f>
        <v>-21</v>
      </c>
      <c r="M688" s="15">
        <f t="shared" ref="M688:M751" ca="1" si="70">OFFSET($P$27,-I688,0)</f>
        <v>0</v>
      </c>
      <c r="N688" s="15">
        <f t="shared" ref="N688:N751" ca="1" si="71">OFFSET($P$27,-J688,0)</f>
        <v>41670</v>
      </c>
      <c r="Z688" s="1"/>
    </row>
    <row r="689" spans="3:26" x14ac:dyDescent="0.2">
      <c r="C689" s="39"/>
      <c r="D689" s="39"/>
      <c r="E689" s="38">
        <f>[2]!expavg($T$9:$T$26,$R$9:$R$26,K689,H689)</f>
        <v>0.60752408974439076</v>
      </c>
      <c r="F689" s="38" t="str">
        <f>[2]!expavg2($T$9:$T$26,I689,J689,$R$9:$R$26)</f>
        <v>ERROR: Please use BegPeriod &gt;= 1.</v>
      </c>
      <c r="H689" s="2">
        <f t="shared" si="68"/>
        <v>1</v>
      </c>
      <c r="I689" s="24">
        <f t="shared" si="66"/>
        <v>-19</v>
      </c>
      <c r="J689" s="24">
        <f t="shared" si="67"/>
        <v>2</v>
      </c>
      <c r="K689" s="17">
        <f t="shared" si="69"/>
        <v>-20</v>
      </c>
      <c r="M689" s="15">
        <f t="shared" ca="1" si="70"/>
        <v>0</v>
      </c>
      <c r="N689" s="15">
        <f t="shared" ca="1" si="71"/>
        <v>42035</v>
      </c>
      <c r="Z689" s="1"/>
    </row>
    <row r="690" spans="3:26" x14ac:dyDescent="0.2">
      <c r="C690" s="39"/>
      <c r="D690" s="39"/>
      <c r="E690" s="38">
        <f>[2]!expavg($T$9:$T$26,$R$9:$R$26,K690,H690)</f>
        <v>0.60472044954610527</v>
      </c>
      <c r="F690" s="38" t="str">
        <f>[2]!expavg2($T$9:$T$26,I690,J690,$R$9:$R$26)</f>
        <v>ERROR: Please use BegPeriod &gt;= 1.</v>
      </c>
      <c r="H690" s="2">
        <f t="shared" si="68"/>
        <v>0</v>
      </c>
      <c r="I690" s="24">
        <f t="shared" si="66"/>
        <v>-19</v>
      </c>
      <c r="J690" s="24">
        <f t="shared" si="67"/>
        <v>1</v>
      </c>
      <c r="K690" s="17">
        <f t="shared" si="69"/>
        <v>-19</v>
      </c>
      <c r="M690" s="15">
        <f t="shared" ca="1" si="70"/>
        <v>0</v>
      </c>
      <c r="N690" s="15">
        <f t="shared" ca="1" si="71"/>
        <v>42400</v>
      </c>
      <c r="Z690" s="1"/>
    </row>
    <row r="691" spans="3:26" x14ac:dyDescent="0.2">
      <c r="C691" s="39"/>
      <c r="D691" s="39"/>
      <c r="E691" s="38">
        <f>[2]!expavg($T$9:$T$26,$R$9:$R$26,K691,H691)</f>
        <v>0.60472044954610527</v>
      </c>
      <c r="F691" s="38" t="str">
        <f>[2]!expavg2($T$9:$T$26,I691,J691,$R$9:$R$26)</f>
        <v>ERROR: Please use BegPeriod &gt;= 1.</v>
      </c>
      <c r="H691" s="2">
        <f t="shared" si="68"/>
        <v>-1</v>
      </c>
      <c r="I691" s="24">
        <f t="shared" si="66"/>
        <v>-19</v>
      </c>
      <c r="J691" s="24">
        <f t="shared" si="67"/>
        <v>0</v>
      </c>
      <c r="K691" s="17">
        <f t="shared" si="69"/>
        <v>-18</v>
      </c>
      <c r="M691" s="15">
        <f t="shared" ca="1" si="70"/>
        <v>0</v>
      </c>
      <c r="N691" s="15">
        <f t="shared" ca="1" si="71"/>
        <v>0</v>
      </c>
      <c r="Z691" s="1"/>
    </row>
    <row r="692" spans="3:26" x14ac:dyDescent="0.2">
      <c r="C692" s="39"/>
      <c r="D692" s="39"/>
      <c r="E692" s="38">
        <f>[2]!expavg($T$9:$T$26,$R$9:$R$26,K692,H692)</f>
        <v>0.60472044954610527</v>
      </c>
      <c r="F692" s="38" t="str">
        <f>[2]!expavg2($T$9:$T$26,I692,J692,$R$9:$R$26)</f>
        <v>ERROR: Please use BegPeriod &gt;= 1.</v>
      </c>
      <c r="H692" s="2">
        <f t="shared" si="68"/>
        <v>-2</v>
      </c>
      <c r="I692" s="24">
        <f t="shared" ref="I692:I755" si="72">I675-1</f>
        <v>-19</v>
      </c>
      <c r="J692" s="24">
        <f t="shared" ref="J692:J755" si="73">J675</f>
        <v>-1</v>
      </c>
      <c r="K692" s="17">
        <f t="shared" si="69"/>
        <v>-17</v>
      </c>
      <c r="M692" s="15">
        <f t="shared" ca="1" si="70"/>
        <v>0</v>
      </c>
      <c r="N692" s="15">
        <f t="shared" ca="1" si="71"/>
        <v>0</v>
      </c>
      <c r="Z692" s="1"/>
    </row>
    <row r="693" spans="3:26" x14ac:dyDescent="0.2">
      <c r="C693" s="39"/>
      <c r="D693" s="39"/>
      <c r="E693" s="38">
        <f>[2]!expavg($T$9:$T$26,$R$9:$R$26,K693,H693)</f>
        <v>0.70939186407915755</v>
      </c>
      <c r="F693" s="38" t="str">
        <f>[2]!expavg2($T$9:$T$26,I693,J693,$R$9:$R$26)</f>
        <v>ERROR: Please use BegPeriod &gt;= 1.</v>
      </c>
      <c r="H693" s="2">
        <f t="shared" si="68"/>
        <v>14</v>
      </c>
      <c r="I693" s="24">
        <f t="shared" si="72"/>
        <v>-20</v>
      </c>
      <c r="J693" s="24">
        <f t="shared" si="73"/>
        <v>15</v>
      </c>
      <c r="K693" s="17">
        <f t="shared" si="69"/>
        <v>-34</v>
      </c>
      <c r="M693" s="15">
        <f t="shared" ca="1" si="70"/>
        <v>0</v>
      </c>
      <c r="N693" s="15">
        <f t="shared" ca="1" si="71"/>
        <v>37287</v>
      </c>
      <c r="Z693" s="1"/>
    </row>
    <row r="694" spans="3:26" x14ac:dyDescent="0.2">
      <c r="C694" s="39"/>
      <c r="D694" s="39"/>
      <c r="E694" s="38">
        <f>[2]!expavg($T$9:$T$26,$R$9:$R$26,K694,H694)</f>
        <v>0.67177139323204882</v>
      </c>
      <c r="F694" s="38" t="str">
        <f>[2]!expavg2($T$9:$T$26,I694,J694,$R$9:$R$26)</f>
        <v>ERROR: Please use BegPeriod &gt;= 1.</v>
      </c>
      <c r="H694" s="2">
        <f t="shared" si="68"/>
        <v>13</v>
      </c>
      <c r="I694" s="24">
        <f t="shared" si="72"/>
        <v>-20</v>
      </c>
      <c r="J694" s="24">
        <f t="shared" si="73"/>
        <v>14</v>
      </c>
      <c r="K694" s="17">
        <f t="shared" si="69"/>
        <v>-33</v>
      </c>
      <c r="M694" s="15">
        <f t="shared" ca="1" si="70"/>
        <v>0</v>
      </c>
      <c r="N694" s="15">
        <f t="shared" ca="1" si="71"/>
        <v>37652</v>
      </c>
      <c r="Z694" s="1"/>
    </row>
    <row r="695" spans="3:26" x14ac:dyDescent="0.2">
      <c r="C695" s="39"/>
      <c r="D695" s="39"/>
      <c r="E695" s="38">
        <f>[2]!expavg($T$9:$T$26,$R$9:$R$26,K695,H695)</f>
        <v>0.66945167850810816</v>
      </c>
      <c r="F695" s="38" t="str">
        <f>[2]!expavg2($T$9:$T$26,I695,J695,$R$9:$R$26)</f>
        <v>ERROR: Please use BegPeriod &gt;= 1.</v>
      </c>
      <c r="H695" s="2">
        <f t="shared" si="68"/>
        <v>12</v>
      </c>
      <c r="I695" s="24">
        <f t="shared" si="72"/>
        <v>-20</v>
      </c>
      <c r="J695" s="24">
        <f t="shared" si="73"/>
        <v>13</v>
      </c>
      <c r="K695" s="17">
        <f t="shared" si="69"/>
        <v>-32</v>
      </c>
      <c r="M695" s="15">
        <f t="shared" ca="1" si="70"/>
        <v>0</v>
      </c>
      <c r="N695" s="15">
        <f t="shared" ca="1" si="71"/>
        <v>38017</v>
      </c>
      <c r="Z695" s="1"/>
    </row>
    <row r="696" spans="3:26" x14ac:dyDescent="0.2">
      <c r="C696" s="39"/>
      <c r="D696" s="39"/>
      <c r="E696" s="38">
        <f>[2]!expavg($T$9:$T$26,$R$9:$R$26,K696,H696)</f>
        <v>0.67904388723605558</v>
      </c>
      <c r="F696" s="38" t="str">
        <f>[2]!expavg2($T$9:$T$26,I696,J696,$R$9:$R$26)</f>
        <v>ERROR: Please use BegPeriod &gt;= 1.</v>
      </c>
      <c r="H696" s="2">
        <f t="shared" si="68"/>
        <v>11</v>
      </c>
      <c r="I696" s="24">
        <f t="shared" si="72"/>
        <v>-20</v>
      </c>
      <c r="J696" s="24">
        <f t="shared" si="73"/>
        <v>12</v>
      </c>
      <c r="K696" s="17">
        <f t="shared" si="69"/>
        <v>-31</v>
      </c>
      <c r="M696" s="15">
        <f t="shared" ca="1" si="70"/>
        <v>0</v>
      </c>
      <c r="N696" s="15">
        <f t="shared" ca="1" si="71"/>
        <v>38383</v>
      </c>
      <c r="Z696" s="1"/>
    </row>
    <row r="697" spans="3:26" x14ac:dyDescent="0.2">
      <c r="C697" s="39"/>
      <c r="D697" s="39"/>
      <c r="E697" s="38">
        <f>[2]!expavg($T$9:$T$26,$R$9:$R$26,K697,H697)</f>
        <v>0.68957279758642287</v>
      </c>
      <c r="F697" s="38" t="str">
        <f>[2]!expavg2($T$9:$T$26,I697,J697,$R$9:$R$26)</f>
        <v>ERROR: Please use BegPeriod &gt;= 1.</v>
      </c>
      <c r="H697" s="2">
        <f t="shared" si="68"/>
        <v>10</v>
      </c>
      <c r="I697" s="24">
        <f t="shared" si="72"/>
        <v>-20</v>
      </c>
      <c r="J697" s="24">
        <f t="shared" si="73"/>
        <v>11</v>
      </c>
      <c r="K697" s="17">
        <f t="shared" si="69"/>
        <v>-30</v>
      </c>
      <c r="M697" s="15">
        <f t="shared" ca="1" si="70"/>
        <v>0</v>
      </c>
      <c r="N697" s="15">
        <f t="shared" ca="1" si="71"/>
        <v>38748</v>
      </c>
      <c r="Z697" s="1"/>
    </row>
    <row r="698" spans="3:26" x14ac:dyDescent="0.2">
      <c r="C698" s="39"/>
      <c r="D698" s="39"/>
      <c r="E698" s="38">
        <f>[2]!expavg($T$9:$T$26,$R$9:$R$26,K698,H698)</f>
        <v>0.67160897630855276</v>
      </c>
      <c r="F698" s="38" t="str">
        <f>[2]!expavg2($T$9:$T$26,I698,J698,$R$9:$R$26)</f>
        <v>ERROR: Please use BegPeriod &gt;= 1.</v>
      </c>
      <c r="H698" s="2">
        <f t="shared" si="68"/>
        <v>9</v>
      </c>
      <c r="I698" s="24">
        <f t="shared" si="72"/>
        <v>-20</v>
      </c>
      <c r="J698" s="24">
        <f t="shared" si="73"/>
        <v>10</v>
      </c>
      <c r="K698" s="17">
        <f t="shared" si="69"/>
        <v>-29</v>
      </c>
      <c r="M698" s="15">
        <f t="shared" ca="1" si="70"/>
        <v>0</v>
      </c>
      <c r="N698" s="15">
        <f t="shared" ca="1" si="71"/>
        <v>39113</v>
      </c>
      <c r="Z698" s="1"/>
    </row>
    <row r="699" spans="3:26" x14ac:dyDescent="0.2">
      <c r="C699" s="39"/>
      <c r="D699" s="39"/>
      <c r="E699" s="38">
        <f>[2]!expavg($T$9:$T$26,$R$9:$R$26,K699,H699)</f>
        <v>0.66527157980250695</v>
      </c>
      <c r="F699" s="38" t="str">
        <f>[2]!expavg2($T$9:$T$26,I699,J699,$R$9:$R$26)</f>
        <v>ERROR: Please use BegPeriod &gt;= 1.</v>
      </c>
      <c r="H699" s="2">
        <f t="shared" si="68"/>
        <v>8</v>
      </c>
      <c r="I699" s="24">
        <f t="shared" si="72"/>
        <v>-20</v>
      </c>
      <c r="J699" s="24">
        <f t="shared" si="73"/>
        <v>9</v>
      </c>
      <c r="K699" s="17">
        <f t="shared" si="69"/>
        <v>-28</v>
      </c>
      <c r="M699" s="15">
        <f t="shared" ca="1" si="70"/>
        <v>0</v>
      </c>
      <c r="N699" s="15">
        <f t="shared" ca="1" si="71"/>
        <v>39478</v>
      </c>
      <c r="Z699" s="1"/>
    </row>
    <row r="700" spans="3:26" x14ac:dyDescent="0.2">
      <c r="C700" s="39"/>
      <c r="D700" s="39"/>
      <c r="E700" s="38">
        <f>[2]!expavg($T$9:$T$26,$R$9:$R$26,K700,H700)</f>
        <v>0.68450987024306864</v>
      </c>
      <c r="F700" s="38" t="str">
        <f>[2]!expavg2($T$9:$T$26,I700,J700,$R$9:$R$26)</f>
        <v>ERROR: Please use BegPeriod &gt;= 1.</v>
      </c>
      <c r="H700" s="2">
        <f t="shared" si="68"/>
        <v>7</v>
      </c>
      <c r="I700" s="24">
        <f t="shared" si="72"/>
        <v>-20</v>
      </c>
      <c r="J700" s="24">
        <f t="shared" si="73"/>
        <v>8</v>
      </c>
      <c r="K700" s="17">
        <f t="shared" si="69"/>
        <v>-27</v>
      </c>
      <c r="M700" s="15">
        <f t="shared" ca="1" si="70"/>
        <v>0</v>
      </c>
      <c r="N700" s="15">
        <f t="shared" ca="1" si="71"/>
        <v>39844</v>
      </c>
      <c r="Z700" s="1"/>
    </row>
    <row r="701" spans="3:26" x14ac:dyDescent="0.2">
      <c r="C701" s="39"/>
      <c r="D701" s="39"/>
      <c r="E701" s="38">
        <f>[2]!expavg($T$9:$T$26,$R$9:$R$26,K701,H701)</f>
        <v>0.67627397338659268</v>
      </c>
      <c r="F701" s="38" t="str">
        <f>[2]!expavg2($T$9:$T$26,I701,J701,$R$9:$R$26)</f>
        <v>ERROR: Please use BegPeriod &gt;= 1.</v>
      </c>
      <c r="H701" s="2">
        <f t="shared" si="68"/>
        <v>6</v>
      </c>
      <c r="I701" s="24">
        <f t="shared" si="72"/>
        <v>-20</v>
      </c>
      <c r="J701" s="24">
        <f t="shared" si="73"/>
        <v>7</v>
      </c>
      <c r="K701" s="17">
        <f t="shared" si="69"/>
        <v>-26</v>
      </c>
      <c r="M701" s="15">
        <f t="shared" ca="1" si="70"/>
        <v>0</v>
      </c>
      <c r="N701" s="15">
        <f t="shared" ca="1" si="71"/>
        <v>40209</v>
      </c>
      <c r="Z701" s="1"/>
    </row>
    <row r="702" spans="3:26" x14ac:dyDescent="0.2">
      <c r="C702" s="39"/>
      <c r="D702" s="39"/>
      <c r="E702" s="38">
        <f>[2]!expavg($T$9:$T$26,$R$9:$R$26,K702,H702)</f>
        <v>0.66006899259190965</v>
      </c>
      <c r="F702" s="38" t="str">
        <f>[2]!expavg2($T$9:$T$26,I702,J702,$R$9:$R$26)</f>
        <v>ERROR: Please use BegPeriod &gt;= 1.</v>
      </c>
      <c r="H702" s="2">
        <f t="shared" si="68"/>
        <v>5</v>
      </c>
      <c r="I702" s="24">
        <f t="shared" si="72"/>
        <v>-20</v>
      </c>
      <c r="J702" s="24">
        <f t="shared" si="73"/>
        <v>6</v>
      </c>
      <c r="K702" s="17">
        <f t="shared" si="69"/>
        <v>-25</v>
      </c>
      <c r="M702" s="15">
        <f t="shared" ca="1" si="70"/>
        <v>0</v>
      </c>
      <c r="N702" s="15">
        <f t="shared" ca="1" si="71"/>
        <v>40574</v>
      </c>
      <c r="Z702" s="1"/>
    </row>
    <row r="703" spans="3:26" x14ac:dyDescent="0.2">
      <c r="C703" s="39"/>
      <c r="D703" s="39"/>
      <c r="E703" s="38">
        <f>[2]!expavg($T$9:$T$26,$R$9:$R$26,K703,H703)</f>
        <v>0.64048216018789683</v>
      </c>
      <c r="F703" s="38" t="str">
        <f>[2]!expavg2($T$9:$T$26,I703,J703,$R$9:$R$26)</f>
        <v>ERROR: Please use BegPeriod &gt;= 1.</v>
      </c>
      <c r="H703" s="2">
        <f t="shared" si="68"/>
        <v>4</v>
      </c>
      <c r="I703" s="24">
        <f t="shared" si="72"/>
        <v>-20</v>
      </c>
      <c r="J703" s="24">
        <f t="shared" si="73"/>
        <v>5</v>
      </c>
      <c r="K703" s="17">
        <f t="shared" si="69"/>
        <v>-24</v>
      </c>
      <c r="M703" s="15">
        <f t="shared" ca="1" si="70"/>
        <v>0</v>
      </c>
      <c r="N703" s="15">
        <f t="shared" ca="1" si="71"/>
        <v>40939</v>
      </c>
      <c r="Z703" s="1"/>
    </row>
    <row r="704" spans="3:26" x14ac:dyDescent="0.2">
      <c r="C704" s="39"/>
      <c r="D704" s="39"/>
      <c r="E704" s="38">
        <f>[2]!expavg($T$9:$T$26,$R$9:$R$26,K704,H704)</f>
        <v>0.62815488340610859</v>
      </c>
      <c r="F704" s="38" t="str">
        <f>[2]!expavg2($T$9:$T$26,I704,J704,$R$9:$R$26)</f>
        <v>ERROR: Please use BegPeriod &gt;= 1.</v>
      </c>
      <c r="H704" s="2">
        <f t="shared" si="68"/>
        <v>3</v>
      </c>
      <c r="I704" s="24">
        <f t="shared" si="72"/>
        <v>-20</v>
      </c>
      <c r="J704" s="24">
        <f t="shared" si="73"/>
        <v>4</v>
      </c>
      <c r="K704" s="17">
        <f t="shared" si="69"/>
        <v>-23</v>
      </c>
      <c r="M704" s="15">
        <f t="shared" ca="1" si="70"/>
        <v>0</v>
      </c>
      <c r="N704" s="15">
        <f t="shared" ca="1" si="71"/>
        <v>41305</v>
      </c>
      <c r="Z704" s="1"/>
    </row>
    <row r="705" spans="3:26" x14ac:dyDescent="0.2">
      <c r="C705" s="39"/>
      <c r="D705" s="39"/>
      <c r="E705" s="38">
        <f>[2]!expavg($T$9:$T$26,$R$9:$R$26,K705,H705)</f>
        <v>0.62040838094689943</v>
      </c>
      <c r="F705" s="38" t="str">
        <f>[2]!expavg2($T$9:$T$26,I705,J705,$R$9:$R$26)</f>
        <v>ERROR: Please use BegPeriod &gt;= 1.</v>
      </c>
      <c r="H705" s="2">
        <f t="shared" si="68"/>
        <v>2</v>
      </c>
      <c r="I705" s="24">
        <f t="shared" si="72"/>
        <v>-20</v>
      </c>
      <c r="J705" s="24">
        <f t="shared" si="73"/>
        <v>3</v>
      </c>
      <c r="K705" s="17">
        <f t="shared" si="69"/>
        <v>-22</v>
      </c>
      <c r="M705" s="15">
        <f t="shared" ca="1" si="70"/>
        <v>0</v>
      </c>
      <c r="N705" s="15">
        <f t="shared" ca="1" si="71"/>
        <v>41670</v>
      </c>
      <c r="Z705" s="1"/>
    </row>
    <row r="706" spans="3:26" x14ac:dyDescent="0.2">
      <c r="C706" s="39"/>
      <c r="D706" s="39"/>
      <c r="E706" s="38">
        <f>[2]!expavg($T$9:$T$26,$R$9:$R$26,K706,H706)</f>
        <v>0.60752408974439076</v>
      </c>
      <c r="F706" s="38" t="str">
        <f>[2]!expavg2($T$9:$T$26,I706,J706,$R$9:$R$26)</f>
        <v>ERROR: Please use BegPeriod &gt;= 1.</v>
      </c>
      <c r="H706" s="2">
        <f t="shared" si="68"/>
        <v>1</v>
      </c>
      <c r="I706" s="24">
        <f t="shared" si="72"/>
        <v>-20</v>
      </c>
      <c r="J706" s="24">
        <f t="shared" si="73"/>
        <v>2</v>
      </c>
      <c r="K706" s="17">
        <f t="shared" si="69"/>
        <v>-21</v>
      </c>
      <c r="M706" s="15">
        <f t="shared" ca="1" si="70"/>
        <v>0</v>
      </c>
      <c r="N706" s="15">
        <f t="shared" ca="1" si="71"/>
        <v>42035</v>
      </c>
      <c r="Z706" s="1"/>
    </row>
    <row r="707" spans="3:26" x14ac:dyDescent="0.2">
      <c r="C707" s="39"/>
      <c r="D707" s="39"/>
      <c r="E707" s="38">
        <f>[2]!expavg($T$9:$T$26,$R$9:$R$26,K707,H707)</f>
        <v>0.60472044954610527</v>
      </c>
      <c r="F707" s="38" t="str">
        <f>[2]!expavg2($T$9:$T$26,I707,J707,$R$9:$R$26)</f>
        <v>ERROR: Please use BegPeriod &gt;= 1.</v>
      </c>
      <c r="H707" s="2">
        <f t="shared" si="68"/>
        <v>0</v>
      </c>
      <c r="I707" s="24">
        <f t="shared" si="72"/>
        <v>-20</v>
      </c>
      <c r="J707" s="24">
        <f t="shared" si="73"/>
        <v>1</v>
      </c>
      <c r="K707" s="17">
        <f t="shared" si="69"/>
        <v>-20</v>
      </c>
      <c r="M707" s="15">
        <f t="shared" ca="1" si="70"/>
        <v>0</v>
      </c>
      <c r="N707" s="15">
        <f t="shared" ca="1" si="71"/>
        <v>42400</v>
      </c>
      <c r="Z707" s="1"/>
    </row>
    <row r="708" spans="3:26" x14ac:dyDescent="0.2">
      <c r="C708" s="39"/>
      <c r="D708" s="39"/>
      <c r="E708" s="38">
        <f>[2]!expavg($T$9:$T$26,$R$9:$R$26,K708,H708)</f>
        <v>0.60472044954610527</v>
      </c>
      <c r="F708" s="38" t="str">
        <f>[2]!expavg2($T$9:$T$26,I708,J708,$R$9:$R$26)</f>
        <v>ERROR: Please use BegPeriod &gt;= 1.</v>
      </c>
      <c r="H708" s="2">
        <f t="shared" si="68"/>
        <v>-1</v>
      </c>
      <c r="I708" s="24">
        <f t="shared" si="72"/>
        <v>-20</v>
      </c>
      <c r="J708" s="24">
        <f t="shared" si="73"/>
        <v>0</v>
      </c>
      <c r="K708" s="17">
        <f t="shared" si="69"/>
        <v>-19</v>
      </c>
      <c r="M708" s="15">
        <f t="shared" ca="1" si="70"/>
        <v>0</v>
      </c>
      <c r="N708" s="15">
        <f t="shared" ca="1" si="71"/>
        <v>0</v>
      </c>
      <c r="Z708" s="1"/>
    </row>
    <row r="709" spans="3:26" x14ac:dyDescent="0.2">
      <c r="C709" s="39"/>
      <c r="D709" s="39"/>
      <c r="E709" s="38">
        <f>[2]!expavg($T$9:$T$26,$R$9:$R$26,K709,H709)</f>
        <v>0.60472044954610527</v>
      </c>
      <c r="F709" s="38" t="str">
        <f>[2]!expavg2($T$9:$T$26,I709,J709,$R$9:$R$26)</f>
        <v>ERROR: Please use BegPeriod &gt;= 1.</v>
      </c>
      <c r="H709" s="2">
        <f t="shared" si="68"/>
        <v>-2</v>
      </c>
      <c r="I709" s="24">
        <f t="shared" si="72"/>
        <v>-20</v>
      </c>
      <c r="J709" s="24">
        <f t="shared" si="73"/>
        <v>-1</v>
      </c>
      <c r="K709" s="17">
        <f t="shared" si="69"/>
        <v>-18</v>
      </c>
      <c r="M709" s="15">
        <f t="shared" ca="1" si="70"/>
        <v>0</v>
      </c>
      <c r="N709" s="15">
        <f t="shared" ca="1" si="71"/>
        <v>0</v>
      </c>
      <c r="Z709" s="1"/>
    </row>
    <row r="710" spans="3:26" x14ac:dyDescent="0.2">
      <c r="C710" s="39"/>
      <c r="D710" s="39"/>
      <c r="E710" s="38">
        <f>[2]!expavg($T$9:$T$26,$R$9:$R$26,K710,H710)</f>
        <v>0.70939186407915755</v>
      </c>
      <c r="F710" s="38" t="str">
        <f>[2]!expavg2($T$9:$T$26,I710,J710,$R$9:$R$26)</f>
        <v>ERROR: Please use BegPeriod &gt;= 1.</v>
      </c>
      <c r="H710" s="2">
        <f t="shared" si="68"/>
        <v>14</v>
      </c>
      <c r="I710" s="24">
        <f t="shared" si="72"/>
        <v>-21</v>
      </c>
      <c r="J710" s="24">
        <f t="shared" si="73"/>
        <v>15</v>
      </c>
      <c r="K710" s="17">
        <f t="shared" si="69"/>
        <v>-35</v>
      </c>
      <c r="M710" s="15">
        <f t="shared" ca="1" si="70"/>
        <v>0</v>
      </c>
      <c r="N710" s="15">
        <f t="shared" ca="1" si="71"/>
        <v>37287</v>
      </c>
      <c r="Z710" s="1"/>
    </row>
    <row r="711" spans="3:26" x14ac:dyDescent="0.2">
      <c r="C711" s="39"/>
      <c r="D711" s="39"/>
      <c r="E711" s="38">
        <f>[2]!expavg($T$9:$T$26,$R$9:$R$26,K711,H711)</f>
        <v>0.67177139323204882</v>
      </c>
      <c r="F711" s="38" t="str">
        <f>[2]!expavg2($T$9:$T$26,I711,J711,$R$9:$R$26)</f>
        <v>ERROR: Please use BegPeriod &gt;= 1.</v>
      </c>
      <c r="H711" s="2">
        <f t="shared" si="68"/>
        <v>13</v>
      </c>
      <c r="I711" s="24">
        <f t="shared" si="72"/>
        <v>-21</v>
      </c>
      <c r="J711" s="24">
        <f t="shared" si="73"/>
        <v>14</v>
      </c>
      <c r="K711" s="17">
        <f t="shared" si="69"/>
        <v>-34</v>
      </c>
      <c r="M711" s="15">
        <f t="shared" ca="1" si="70"/>
        <v>0</v>
      </c>
      <c r="N711" s="15">
        <f t="shared" ca="1" si="71"/>
        <v>37652</v>
      </c>
      <c r="Z711" s="1"/>
    </row>
    <row r="712" spans="3:26" x14ac:dyDescent="0.2">
      <c r="C712" s="39"/>
      <c r="D712" s="39"/>
      <c r="E712" s="38">
        <f>[2]!expavg($T$9:$T$26,$R$9:$R$26,K712,H712)</f>
        <v>0.66945167850810816</v>
      </c>
      <c r="F712" s="38" t="str">
        <f>[2]!expavg2($T$9:$T$26,I712,J712,$R$9:$R$26)</f>
        <v>ERROR: Please use BegPeriod &gt;= 1.</v>
      </c>
      <c r="H712" s="2">
        <f t="shared" si="68"/>
        <v>12</v>
      </c>
      <c r="I712" s="24">
        <f t="shared" si="72"/>
        <v>-21</v>
      </c>
      <c r="J712" s="24">
        <f t="shared" si="73"/>
        <v>13</v>
      </c>
      <c r="K712" s="17">
        <f t="shared" si="69"/>
        <v>-33</v>
      </c>
      <c r="M712" s="15">
        <f t="shared" ca="1" si="70"/>
        <v>0</v>
      </c>
      <c r="N712" s="15">
        <f t="shared" ca="1" si="71"/>
        <v>38017</v>
      </c>
      <c r="Z712" s="1"/>
    </row>
    <row r="713" spans="3:26" x14ac:dyDescent="0.2">
      <c r="C713" s="39"/>
      <c r="D713" s="39"/>
      <c r="E713" s="38">
        <f>[2]!expavg($T$9:$T$26,$R$9:$R$26,K713,H713)</f>
        <v>0.67904388723605558</v>
      </c>
      <c r="F713" s="38" t="str">
        <f>[2]!expavg2($T$9:$T$26,I713,J713,$R$9:$R$26)</f>
        <v>ERROR: Please use BegPeriod &gt;= 1.</v>
      </c>
      <c r="H713" s="2">
        <f t="shared" si="68"/>
        <v>11</v>
      </c>
      <c r="I713" s="24">
        <f t="shared" si="72"/>
        <v>-21</v>
      </c>
      <c r="J713" s="24">
        <f t="shared" si="73"/>
        <v>12</v>
      </c>
      <c r="K713" s="17">
        <f t="shared" si="69"/>
        <v>-32</v>
      </c>
      <c r="M713" s="15">
        <f t="shared" ca="1" si="70"/>
        <v>0</v>
      </c>
      <c r="N713" s="15">
        <f t="shared" ca="1" si="71"/>
        <v>38383</v>
      </c>
      <c r="Z713" s="1"/>
    </row>
    <row r="714" spans="3:26" x14ac:dyDescent="0.2">
      <c r="C714" s="39"/>
      <c r="D714" s="39"/>
      <c r="E714" s="38">
        <f>[2]!expavg($T$9:$T$26,$R$9:$R$26,K714,H714)</f>
        <v>0.68957279758642287</v>
      </c>
      <c r="F714" s="38" t="str">
        <f>[2]!expavg2($T$9:$T$26,I714,J714,$R$9:$R$26)</f>
        <v>ERROR: Please use BegPeriod &gt;= 1.</v>
      </c>
      <c r="H714" s="2">
        <f t="shared" si="68"/>
        <v>10</v>
      </c>
      <c r="I714" s="24">
        <f t="shared" si="72"/>
        <v>-21</v>
      </c>
      <c r="J714" s="24">
        <f t="shared" si="73"/>
        <v>11</v>
      </c>
      <c r="K714" s="17">
        <f t="shared" si="69"/>
        <v>-31</v>
      </c>
      <c r="M714" s="15">
        <f t="shared" ca="1" si="70"/>
        <v>0</v>
      </c>
      <c r="N714" s="15">
        <f t="shared" ca="1" si="71"/>
        <v>38748</v>
      </c>
      <c r="Z714" s="1"/>
    </row>
    <row r="715" spans="3:26" x14ac:dyDescent="0.2">
      <c r="C715" s="39"/>
      <c r="D715" s="39"/>
      <c r="E715" s="38">
        <f>[2]!expavg($T$9:$T$26,$R$9:$R$26,K715,H715)</f>
        <v>0.67160897630855276</v>
      </c>
      <c r="F715" s="38" t="str">
        <f>[2]!expavg2($T$9:$T$26,I715,J715,$R$9:$R$26)</f>
        <v>ERROR: Please use BegPeriod &gt;= 1.</v>
      </c>
      <c r="H715" s="2">
        <f t="shared" si="68"/>
        <v>9</v>
      </c>
      <c r="I715" s="24">
        <f t="shared" si="72"/>
        <v>-21</v>
      </c>
      <c r="J715" s="24">
        <f t="shared" si="73"/>
        <v>10</v>
      </c>
      <c r="K715" s="17">
        <f t="shared" si="69"/>
        <v>-30</v>
      </c>
      <c r="M715" s="15">
        <f t="shared" ca="1" si="70"/>
        <v>0</v>
      </c>
      <c r="N715" s="15">
        <f t="shared" ca="1" si="71"/>
        <v>39113</v>
      </c>
      <c r="Z715" s="1"/>
    </row>
    <row r="716" spans="3:26" x14ac:dyDescent="0.2">
      <c r="C716" s="39"/>
      <c r="D716" s="39"/>
      <c r="E716" s="38">
        <f>[2]!expavg($T$9:$T$26,$R$9:$R$26,K716,H716)</f>
        <v>0.66527157980250695</v>
      </c>
      <c r="F716" s="38" t="str">
        <f>[2]!expavg2($T$9:$T$26,I716,J716,$R$9:$R$26)</f>
        <v>ERROR: Please use BegPeriod &gt;= 1.</v>
      </c>
      <c r="H716" s="2">
        <f t="shared" si="68"/>
        <v>8</v>
      </c>
      <c r="I716" s="24">
        <f t="shared" si="72"/>
        <v>-21</v>
      </c>
      <c r="J716" s="24">
        <f t="shared" si="73"/>
        <v>9</v>
      </c>
      <c r="K716" s="17">
        <f t="shared" si="69"/>
        <v>-29</v>
      </c>
      <c r="M716" s="15">
        <f t="shared" ca="1" si="70"/>
        <v>0</v>
      </c>
      <c r="N716" s="15">
        <f t="shared" ca="1" si="71"/>
        <v>39478</v>
      </c>
      <c r="Z716" s="1"/>
    </row>
    <row r="717" spans="3:26" x14ac:dyDescent="0.2">
      <c r="C717" s="39"/>
      <c r="D717" s="39"/>
      <c r="E717" s="38">
        <f>[2]!expavg($T$9:$T$26,$R$9:$R$26,K717,H717)</f>
        <v>0.68450987024306864</v>
      </c>
      <c r="F717" s="38" t="str">
        <f>[2]!expavg2($T$9:$T$26,I717,J717,$R$9:$R$26)</f>
        <v>ERROR: Please use BegPeriod &gt;= 1.</v>
      </c>
      <c r="H717" s="2">
        <f t="shared" si="68"/>
        <v>7</v>
      </c>
      <c r="I717" s="24">
        <f t="shared" si="72"/>
        <v>-21</v>
      </c>
      <c r="J717" s="24">
        <f t="shared" si="73"/>
        <v>8</v>
      </c>
      <c r="K717" s="17">
        <f t="shared" si="69"/>
        <v>-28</v>
      </c>
      <c r="M717" s="15">
        <f t="shared" ca="1" si="70"/>
        <v>0</v>
      </c>
      <c r="N717" s="15">
        <f t="shared" ca="1" si="71"/>
        <v>39844</v>
      </c>
      <c r="Z717" s="1"/>
    </row>
    <row r="718" spans="3:26" x14ac:dyDescent="0.2">
      <c r="C718" s="39"/>
      <c r="D718" s="39"/>
      <c r="E718" s="38">
        <f>[2]!expavg($T$9:$T$26,$R$9:$R$26,K718,H718)</f>
        <v>0.67627397338659268</v>
      </c>
      <c r="F718" s="38" t="str">
        <f>[2]!expavg2($T$9:$T$26,I718,J718,$R$9:$R$26)</f>
        <v>ERROR: Please use BegPeriod &gt;= 1.</v>
      </c>
      <c r="H718" s="2">
        <f t="shared" si="68"/>
        <v>6</v>
      </c>
      <c r="I718" s="24">
        <f t="shared" si="72"/>
        <v>-21</v>
      </c>
      <c r="J718" s="24">
        <f t="shared" si="73"/>
        <v>7</v>
      </c>
      <c r="K718" s="17">
        <f t="shared" si="69"/>
        <v>-27</v>
      </c>
      <c r="M718" s="15">
        <f t="shared" ca="1" si="70"/>
        <v>0</v>
      </c>
      <c r="N718" s="15">
        <f t="shared" ca="1" si="71"/>
        <v>40209</v>
      </c>
      <c r="Z718" s="1"/>
    </row>
    <row r="719" spans="3:26" x14ac:dyDescent="0.2">
      <c r="C719" s="39"/>
      <c r="D719" s="39"/>
      <c r="E719" s="38">
        <f>[2]!expavg($T$9:$T$26,$R$9:$R$26,K719,H719)</f>
        <v>0.66006899259190965</v>
      </c>
      <c r="F719" s="38" t="str">
        <f>[2]!expavg2($T$9:$T$26,I719,J719,$R$9:$R$26)</f>
        <v>ERROR: Please use BegPeriod &gt;= 1.</v>
      </c>
      <c r="H719" s="2">
        <f t="shared" si="68"/>
        <v>5</v>
      </c>
      <c r="I719" s="24">
        <f t="shared" si="72"/>
        <v>-21</v>
      </c>
      <c r="J719" s="24">
        <f t="shared" si="73"/>
        <v>6</v>
      </c>
      <c r="K719" s="17">
        <f t="shared" si="69"/>
        <v>-26</v>
      </c>
      <c r="M719" s="15">
        <f t="shared" ca="1" si="70"/>
        <v>0</v>
      </c>
      <c r="N719" s="15">
        <f t="shared" ca="1" si="71"/>
        <v>40574</v>
      </c>
      <c r="Z719" s="1"/>
    </row>
    <row r="720" spans="3:26" x14ac:dyDescent="0.2">
      <c r="C720" s="39"/>
      <c r="D720" s="39"/>
      <c r="E720" s="38">
        <f>[2]!expavg($T$9:$T$26,$R$9:$R$26,K720,H720)</f>
        <v>0.64048216018789683</v>
      </c>
      <c r="F720" s="38" t="str">
        <f>[2]!expavg2($T$9:$T$26,I720,J720,$R$9:$R$26)</f>
        <v>ERROR: Please use BegPeriod &gt;= 1.</v>
      </c>
      <c r="H720" s="2">
        <f t="shared" si="68"/>
        <v>4</v>
      </c>
      <c r="I720" s="24">
        <f t="shared" si="72"/>
        <v>-21</v>
      </c>
      <c r="J720" s="24">
        <f t="shared" si="73"/>
        <v>5</v>
      </c>
      <c r="K720" s="17">
        <f t="shared" si="69"/>
        <v>-25</v>
      </c>
      <c r="M720" s="15">
        <f t="shared" ca="1" si="70"/>
        <v>0</v>
      </c>
      <c r="N720" s="15">
        <f t="shared" ca="1" si="71"/>
        <v>40939</v>
      </c>
      <c r="Z720" s="1"/>
    </row>
    <row r="721" spans="3:26" x14ac:dyDescent="0.2">
      <c r="C721" s="39"/>
      <c r="D721" s="39"/>
      <c r="E721" s="38">
        <f>[2]!expavg($T$9:$T$26,$R$9:$R$26,K721,H721)</f>
        <v>0.62815488340610859</v>
      </c>
      <c r="F721" s="38" t="str">
        <f>[2]!expavg2($T$9:$T$26,I721,J721,$R$9:$R$26)</f>
        <v>ERROR: Please use BegPeriod &gt;= 1.</v>
      </c>
      <c r="H721" s="2">
        <f t="shared" si="68"/>
        <v>3</v>
      </c>
      <c r="I721" s="24">
        <f t="shared" si="72"/>
        <v>-21</v>
      </c>
      <c r="J721" s="24">
        <f t="shared" si="73"/>
        <v>4</v>
      </c>
      <c r="K721" s="17">
        <f t="shared" si="69"/>
        <v>-24</v>
      </c>
      <c r="M721" s="15">
        <f t="shared" ca="1" si="70"/>
        <v>0</v>
      </c>
      <c r="N721" s="15">
        <f t="shared" ca="1" si="71"/>
        <v>41305</v>
      </c>
      <c r="Z721" s="1"/>
    </row>
    <row r="722" spans="3:26" x14ac:dyDescent="0.2">
      <c r="C722" s="39"/>
      <c r="D722" s="39"/>
      <c r="E722" s="38">
        <f>[2]!expavg($T$9:$T$26,$R$9:$R$26,K722,H722)</f>
        <v>0.62040838094689943</v>
      </c>
      <c r="F722" s="38" t="str">
        <f>[2]!expavg2($T$9:$T$26,I722,J722,$R$9:$R$26)</f>
        <v>ERROR: Please use BegPeriod &gt;= 1.</v>
      </c>
      <c r="H722" s="2">
        <f t="shared" si="68"/>
        <v>2</v>
      </c>
      <c r="I722" s="24">
        <f t="shared" si="72"/>
        <v>-21</v>
      </c>
      <c r="J722" s="24">
        <f t="shared" si="73"/>
        <v>3</v>
      </c>
      <c r="K722" s="17">
        <f t="shared" si="69"/>
        <v>-23</v>
      </c>
      <c r="M722" s="15">
        <f t="shared" ca="1" si="70"/>
        <v>0</v>
      </c>
      <c r="N722" s="15">
        <f t="shared" ca="1" si="71"/>
        <v>41670</v>
      </c>
      <c r="Z722" s="1"/>
    </row>
    <row r="723" spans="3:26" x14ac:dyDescent="0.2">
      <c r="C723" s="39"/>
      <c r="D723" s="39"/>
      <c r="E723" s="38">
        <f>[2]!expavg($T$9:$T$26,$R$9:$R$26,K723,H723)</f>
        <v>0.60752408974439076</v>
      </c>
      <c r="F723" s="38" t="str">
        <f>[2]!expavg2($T$9:$T$26,I723,J723,$R$9:$R$26)</f>
        <v>ERROR: Please use BegPeriod &gt;= 1.</v>
      </c>
      <c r="H723" s="2">
        <f t="shared" si="68"/>
        <v>1</v>
      </c>
      <c r="I723" s="24">
        <f t="shared" si="72"/>
        <v>-21</v>
      </c>
      <c r="J723" s="24">
        <f t="shared" si="73"/>
        <v>2</v>
      </c>
      <c r="K723" s="17">
        <f t="shared" si="69"/>
        <v>-22</v>
      </c>
      <c r="M723" s="15">
        <f t="shared" ca="1" si="70"/>
        <v>0</v>
      </c>
      <c r="N723" s="15">
        <f t="shared" ca="1" si="71"/>
        <v>42035</v>
      </c>
      <c r="Z723" s="1"/>
    </row>
    <row r="724" spans="3:26" x14ac:dyDescent="0.2">
      <c r="C724" s="39"/>
      <c r="D724" s="39"/>
      <c r="E724" s="38">
        <f>[2]!expavg($T$9:$T$26,$R$9:$R$26,K724,H724)</f>
        <v>0.60472044954610527</v>
      </c>
      <c r="F724" s="38" t="str">
        <f>[2]!expavg2($T$9:$T$26,I724,J724,$R$9:$R$26)</f>
        <v>ERROR: Please use BegPeriod &gt;= 1.</v>
      </c>
      <c r="H724" s="2">
        <f t="shared" si="68"/>
        <v>0</v>
      </c>
      <c r="I724" s="24">
        <f t="shared" si="72"/>
        <v>-21</v>
      </c>
      <c r="J724" s="24">
        <f t="shared" si="73"/>
        <v>1</v>
      </c>
      <c r="K724" s="17">
        <f t="shared" si="69"/>
        <v>-21</v>
      </c>
      <c r="M724" s="15">
        <f t="shared" ca="1" si="70"/>
        <v>0</v>
      </c>
      <c r="N724" s="15">
        <f t="shared" ca="1" si="71"/>
        <v>42400</v>
      </c>
      <c r="Z724" s="1"/>
    </row>
    <row r="725" spans="3:26" x14ac:dyDescent="0.2">
      <c r="C725" s="39"/>
      <c r="D725" s="39"/>
      <c r="E725" s="38">
        <f>[2]!expavg($T$9:$T$26,$R$9:$R$26,K725,H725)</f>
        <v>0.60472044954610527</v>
      </c>
      <c r="F725" s="38" t="str">
        <f>[2]!expavg2($T$9:$T$26,I725,J725,$R$9:$R$26)</f>
        <v>ERROR: Please use BegPeriod &gt;= 1.</v>
      </c>
      <c r="H725" s="2">
        <f t="shared" si="68"/>
        <v>-1</v>
      </c>
      <c r="I725" s="24">
        <f t="shared" si="72"/>
        <v>-21</v>
      </c>
      <c r="J725" s="24">
        <f t="shared" si="73"/>
        <v>0</v>
      </c>
      <c r="K725" s="17">
        <f t="shared" si="69"/>
        <v>-20</v>
      </c>
      <c r="M725" s="15">
        <f t="shared" ca="1" si="70"/>
        <v>0</v>
      </c>
      <c r="N725" s="15">
        <f t="shared" ca="1" si="71"/>
        <v>0</v>
      </c>
      <c r="Z725" s="1"/>
    </row>
    <row r="726" spans="3:26" x14ac:dyDescent="0.2">
      <c r="C726" s="39"/>
      <c r="D726" s="39"/>
      <c r="E726" s="38">
        <f>[2]!expavg($T$9:$T$26,$R$9:$R$26,K726,H726)</f>
        <v>0.60472044954610527</v>
      </c>
      <c r="F726" s="38" t="str">
        <f>[2]!expavg2($T$9:$T$26,I726,J726,$R$9:$R$26)</f>
        <v>ERROR: Please use BegPeriod &gt;= 1.</v>
      </c>
      <c r="H726" s="2">
        <f t="shared" si="68"/>
        <v>-2</v>
      </c>
      <c r="I726" s="24">
        <f t="shared" si="72"/>
        <v>-21</v>
      </c>
      <c r="J726" s="24">
        <f t="shared" si="73"/>
        <v>-1</v>
      </c>
      <c r="K726" s="17">
        <f t="shared" si="69"/>
        <v>-19</v>
      </c>
      <c r="M726" s="15">
        <f t="shared" ca="1" si="70"/>
        <v>0</v>
      </c>
      <c r="N726" s="15">
        <f t="shared" ca="1" si="71"/>
        <v>0</v>
      </c>
      <c r="Z726" s="1"/>
    </row>
    <row r="727" spans="3:26" x14ac:dyDescent="0.2">
      <c r="C727" s="39"/>
      <c r="D727" s="39"/>
      <c r="E727" s="38">
        <f>[2]!expavg($T$9:$T$26,$R$9:$R$26,K727,H727)</f>
        <v>0.70939186407915755</v>
      </c>
      <c r="F727" s="38" t="str">
        <f>[2]!expavg2($T$9:$T$26,I727,J727,$R$9:$R$26)</f>
        <v>ERROR: Please use BegPeriod &gt;= 1.</v>
      </c>
      <c r="H727" s="2">
        <f t="shared" si="68"/>
        <v>14</v>
      </c>
      <c r="I727" s="24">
        <f t="shared" si="72"/>
        <v>-22</v>
      </c>
      <c r="J727" s="24">
        <f t="shared" si="73"/>
        <v>15</v>
      </c>
      <c r="K727" s="17">
        <f t="shared" si="69"/>
        <v>-36</v>
      </c>
      <c r="M727" s="15">
        <f t="shared" ca="1" si="70"/>
        <v>0</v>
      </c>
      <c r="N727" s="15">
        <f t="shared" ca="1" si="71"/>
        <v>37287</v>
      </c>
      <c r="Z727" s="1"/>
    </row>
    <row r="728" spans="3:26" x14ac:dyDescent="0.2">
      <c r="C728" s="39"/>
      <c r="D728" s="39"/>
      <c r="E728" s="38">
        <f>[2]!expavg($T$9:$T$26,$R$9:$R$26,K728,H728)</f>
        <v>0.67177139323204882</v>
      </c>
      <c r="F728" s="38" t="str">
        <f>[2]!expavg2($T$9:$T$26,I728,J728,$R$9:$R$26)</f>
        <v>ERROR: Please use BegPeriod &gt;= 1.</v>
      </c>
      <c r="H728" s="2">
        <f t="shared" si="68"/>
        <v>13</v>
      </c>
      <c r="I728" s="24">
        <f t="shared" si="72"/>
        <v>-22</v>
      </c>
      <c r="J728" s="24">
        <f t="shared" si="73"/>
        <v>14</v>
      </c>
      <c r="K728" s="17">
        <f t="shared" si="69"/>
        <v>-35</v>
      </c>
      <c r="M728" s="15">
        <f t="shared" ca="1" si="70"/>
        <v>0</v>
      </c>
      <c r="N728" s="15">
        <f t="shared" ca="1" si="71"/>
        <v>37652</v>
      </c>
      <c r="Z728" s="1"/>
    </row>
    <row r="729" spans="3:26" x14ac:dyDescent="0.2">
      <c r="C729" s="39"/>
      <c r="D729" s="39"/>
      <c r="E729" s="38">
        <f>[2]!expavg($T$9:$T$26,$R$9:$R$26,K729,H729)</f>
        <v>0.66945167850810816</v>
      </c>
      <c r="F729" s="38" t="str">
        <f>[2]!expavg2($T$9:$T$26,I729,J729,$R$9:$R$26)</f>
        <v>ERROR: Please use BegPeriod &gt;= 1.</v>
      </c>
      <c r="H729" s="2">
        <f t="shared" si="68"/>
        <v>12</v>
      </c>
      <c r="I729" s="24">
        <f t="shared" si="72"/>
        <v>-22</v>
      </c>
      <c r="J729" s="24">
        <f t="shared" si="73"/>
        <v>13</v>
      </c>
      <c r="K729" s="17">
        <f t="shared" si="69"/>
        <v>-34</v>
      </c>
      <c r="M729" s="15">
        <f t="shared" ca="1" si="70"/>
        <v>0</v>
      </c>
      <c r="N729" s="15">
        <f t="shared" ca="1" si="71"/>
        <v>38017</v>
      </c>
      <c r="Z729" s="1"/>
    </row>
    <row r="730" spans="3:26" x14ac:dyDescent="0.2">
      <c r="C730" s="39"/>
      <c r="D730" s="39"/>
      <c r="E730" s="38">
        <f>[2]!expavg($T$9:$T$26,$R$9:$R$26,K730,H730)</f>
        <v>0.67904388723605558</v>
      </c>
      <c r="F730" s="38" t="str">
        <f>[2]!expavg2($T$9:$T$26,I730,J730,$R$9:$R$26)</f>
        <v>ERROR: Please use BegPeriod &gt;= 1.</v>
      </c>
      <c r="H730" s="2">
        <f t="shared" si="68"/>
        <v>11</v>
      </c>
      <c r="I730" s="24">
        <f t="shared" si="72"/>
        <v>-22</v>
      </c>
      <c r="J730" s="24">
        <f t="shared" si="73"/>
        <v>12</v>
      </c>
      <c r="K730" s="17">
        <f t="shared" si="69"/>
        <v>-33</v>
      </c>
      <c r="M730" s="15">
        <f t="shared" ca="1" si="70"/>
        <v>0</v>
      </c>
      <c r="N730" s="15">
        <f t="shared" ca="1" si="71"/>
        <v>38383</v>
      </c>
      <c r="Z730" s="1"/>
    </row>
    <row r="731" spans="3:26" x14ac:dyDescent="0.2">
      <c r="C731" s="39"/>
      <c r="D731" s="39"/>
      <c r="E731" s="38">
        <f>[2]!expavg($T$9:$T$26,$R$9:$R$26,K731,H731)</f>
        <v>0.68957279758642287</v>
      </c>
      <c r="F731" s="38" t="str">
        <f>[2]!expavg2($T$9:$T$26,I731,J731,$R$9:$R$26)</f>
        <v>ERROR: Please use BegPeriod &gt;= 1.</v>
      </c>
      <c r="H731" s="2">
        <f t="shared" si="68"/>
        <v>10</v>
      </c>
      <c r="I731" s="24">
        <f t="shared" si="72"/>
        <v>-22</v>
      </c>
      <c r="J731" s="24">
        <f t="shared" si="73"/>
        <v>11</v>
      </c>
      <c r="K731" s="17">
        <f t="shared" si="69"/>
        <v>-32</v>
      </c>
      <c r="M731" s="15">
        <f t="shared" ca="1" si="70"/>
        <v>0</v>
      </c>
      <c r="N731" s="15">
        <f t="shared" ca="1" si="71"/>
        <v>38748</v>
      </c>
      <c r="Z731" s="1"/>
    </row>
    <row r="732" spans="3:26" x14ac:dyDescent="0.2">
      <c r="C732" s="39"/>
      <c r="D732" s="39"/>
      <c r="E732" s="38">
        <f>[2]!expavg($T$9:$T$26,$R$9:$R$26,K732,H732)</f>
        <v>0.67160897630855276</v>
      </c>
      <c r="F732" s="38" t="str">
        <f>[2]!expavg2($T$9:$T$26,I732,J732,$R$9:$R$26)</f>
        <v>ERROR: Please use BegPeriod &gt;= 1.</v>
      </c>
      <c r="H732" s="2">
        <f t="shared" si="68"/>
        <v>9</v>
      </c>
      <c r="I732" s="24">
        <f t="shared" si="72"/>
        <v>-22</v>
      </c>
      <c r="J732" s="24">
        <f t="shared" si="73"/>
        <v>10</v>
      </c>
      <c r="K732" s="17">
        <f t="shared" si="69"/>
        <v>-31</v>
      </c>
      <c r="M732" s="15">
        <f t="shared" ca="1" si="70"/>
        <v>0</v>
      </c>
      <c r="N732" s="15">
        <f t="shared" ca="1" si="71"/>
        <v>39113</v>
      </c>
      <c r="Z732" s="1"/>
    </row>
    <row r="733" spans="3:26" x14ac:dyDescent="0.2">
      <c r="C733" s="39"/>
      <c r="D733" s="39"/>
      <c r="E733" s="38">
        <f>[2]!expavg($T$9:$T$26,$R$9:$R$26,K733,H733)</f>
        <v>0.66527157980250695</v>
      </c>
      <c r="F733" s="38" t="str">
        <f>[2]!expavg2($T$9:$T$26,I733,J733,$R$9:$R$26)</f>
        <v>ERROR: Please use BegPeriod &gt;= 1.</v>
      </c>
      <c r="H733" s="2">
        <f t="shared" si="68"/>
        <v>8</v>
      </c>
      <c r="I733" s="24">
        <f t="shared" si="72"/>
        <v>-22</v>
      </c>
      <c r="J733" s="24">
        <f t="shared" si="73"/>
        <v>9</v>
      </c>
      <c r="K733" s="17">
        <f t="shared" si="69"/>
        <v>-30</v>
      </c>
      <c r="M733" s="15">
        <f t="shared" ca="1" si="70"/>
        <v>0</v>
      </c>
      <c r="N733" s="15">
        <f t="shared" ca="1" si="71"/>
        <v>39478</v>
      </c>
      <c r="Z733" s="1"/>
    </row>
    <row r="734" spans="3:26" x14ac:dyDescent="0.2">
      <c r="C734" s="39"/>
      <c r="D734" s="39"/>
      <c r="E734" s="38">
        <f>[2]!expavg($T$9:$T$26,$R$9:$R$26,K734,H734)</f>
        <v>0.68450987024306864</v>
      </c>
      <c r="F734" s="38" t="str">
        <f>[2]!expavg2($T$9:$T$26,I734,J734,$R$9:$R$26)</f>
        <v>ERROR: Please use BegPeriod &gt;= 1.</v>
      </c>
      <c r="H734" s="2">
        <f t="shared" si="68"/>
        <v>7</v>
      </c>
      <c r="I734" s="24">
        <f t="shared" si="72"/>
        <v>-22</v>
      </c>
      <c r="J734" s="24">
        <f t="shared" si="73"/>
        <v>8</v>
      </c>
      <c r="K734" s="17">
        <f t="shared" si="69"/>
        <v>-29</v>
      </c>
      <c r="M734" s="15">
        <f t="shared" ca="1" si="70"/>
        <v>0</v>
      </c>
      <c r="N734" s="15">
        <f t="shared" ca="1" si="71"/>
        <v>39844</v>
      </c>
      <c r="Z734" s="1"/>
    </row>
    <row r="735" spans="3:26" x14ac:dyDescent="0.2">
      <c r="C735" s="39"/>
      <c r="D735" s="39"/>
      <c r="E735" s="38">
        <f>[2]!expavg($T$9:$T$26,$R$9:$R$26,K735,H735)</f>
        <v>0.67627397338659268</v>
      </c>
      <c r="F735" s="38" t="str">
        <f>[2]!expavg2($T$9:$T$26,I735,J735,$R$9:$R$26)</f>
        <v>ERROR: Please use BegPeriod &gt;= 1.</v>
      </c>
      <c r="H735" s="2">
        <f t="shared" si="68"/>
        <v>6</v>
      </c>
      <c r="I735" s="24">
        <f t="shared" si="72"/>
        <v>-22</v>
      </c>
      <c r="J735" s="24">
        <f t="shared" si="73"/>
        <v>7</v>
      </c>
      <c r="K735" s="17">
        <f t="shared" si="69"/>
        <v>-28</v>
      </c>
      <c r="M735" s="15">
        <f t="shared" ca="1" si="70"/>
        <v>0</v>
      </c>
      <c r="N735" s="15">
        <f t="shared" ca="1" si="71"/>
        <v>40209</v>
      </c>
      <c r="Z735" s="1"/>
    </row>
    <row r="736" spans="3:26" x14ac:dyDescent="0.2">
      <c r="C736" s="39"/>
      <c r="D736" s="39"/>
      <c r="E736" s="38">
        <f>[2]!expavg($T$9:$T$26,$R$9:$R$26,K736,H736)</f>
        <v>0.66006899259190965</v>
      </c>
      <c r="F736" s="38" t="str">
        <f>[2]!expavg2($T$9:$T$26,I736,J736,$R$9:$R$26)</f>
        <v>ERROR: Please use BegPeriod &gt;= 1.</v>
      </c>
      <c r="H736" s="2">
        <f t="shared" si="68"/>
        <v>5</v>
      </c>
      <c r="I736" s="24">
        <f t="shared" si="72"/>
        <v>-22</v>
      </c>
      <c r="J736" s="24">
        <f t="shared" si="73"/>
        <v>6</v>
      </c>
      <c r="K736" s="17">
        <f t="shared" si="69"/>
        <v>-27</v>
      </c>
      <c r="M736" s="15">
        <f t="shared" ca="1" si="70"/>
        <v>0</v>
      </c>
      <c r="N736" s="15">
        <f t="shared" ca="1" si="71"/>
        <v>40574</v>
      </c>
      <c r="Z736" s="1"/>
    </row>
    <row r="737" spans="3:26" x14ac:dyDescent="0.2">
      <c r="C737" s="39"/>
      <c r="D737" s="39"/>
      <c r="E737" s="38">
        <f>[2]!expavg($T$9:$T$26,$R$9:$R$26,K737,H737)</f>
        <v>0.64048216018789683</v>
      </c>
      <c r="F737" s="38" t="str">
        <f>[2]!expavg2($T$9:$T$26,I737,J737,$R$9:$R$26)</f>
        <v>ERROR: Please use BegPeriod &gt;= 1.</v>
      </c>
      <c r="H737" s="2">
        <f t="shared" si="68"/>
        <v>4</v>
      </c>
      <c r="I737" s="24">
        <f t="shared" si="72"/>
        <v>-22</v>
      </c>
      <c r="J737" s="24">
        <f t="shared" si="73"/>
        <v>5</v>
      </c>
      <c r="K737" s="17">
        <f t="shared" si="69"/>
        <v>-26</v>
      </c>
      <c r="M737" s="15">
        <f t="shared" ca="1" si="70"/>
        <v>0</v>
      </c>
      <c r="N737" s="15">
        <f t="shared" ca="1" si="71"/>
        <v>40939</v>
      </c>
      <c r="Z737" s="1"/>
    </row>
    <row r="738" spans="3:26" x14ac:dyDescent="0.2">
      <c r="C738" s="39"/>
      <c r="D738" s="39"/>
      <c r="E738" s="38">
        <f>[2]!expavg($T$9:$T$26,$R$9:$R$26,K738,H738)</f>
        <v>0.62815488340610859</v>
      </c>
      <c r="F738" s="38" t="str">
        <f>[2]!expavg2($T$9:$T$26,I738,J738,$R$9:$R$26)</f>
        <v>ERROR: Please use BegPeriod &gt;= 1.</v>
      </c>
      <c r="H738" s="2">
        <f t="shared" si="68"/>
        <v>3</v>
      </c>
      <c r="I738" s="24">
        <f t="shared" si="72"/>
        <v>-22</v>
      </c>
      <c r="J738" s="24">
        <f t="shared" si="73"/>
        <v>4</v>
      </c>
      <c r="K738" s="17">
        <f t="shared" si="69"/>
        <v>-25</v>
      </c>
      <c r="M738" s="15">
        <f t="shared" ca="1" si="70"/>
        <v>0</v>
      </c>
      <c r="N738" s="15">
        <f t="shared" ca="1" si="71"/>
        <v>41305</v>
      </c>
      <c r="Z738" s="1"/>
    </row>
    <row r="739" spans="3:26" x14ac:dyDescent="0.2">
      <c r="C739" s="39"/>
      <c r="D739" s="39"/>
      <c r="E739" s="38">
        <f>[2]!expavg($T$9:$T$26,$R$9:$R$26,K739,H739)</f>
        <v>0.62040838094689943</v>
      </c>
      <c r="F739" s="38" t="str">
        <f>[2]!expavg2($T$9:$T$26,I739,J739,$R$9:$R$26)</f>
        <v>ERROR: Please use BegPeriod &gt;= 1.</v>
      </c>
      <c r="H739" s="2">
        <f t="shared" si="68"/>
        <v>2</v>
      </c>
      <c r="I739" s="24">
        <f t="shared" si="72"/>
        <v>-22</v>
      </c>
      <c r="J739" s="24">
        <f t="shared" si="73"/>
        <v>3</v>
      </c>
      <c r="K739" s="17">
        <f t="shared" si="69"/>
        <v>-24</v>
      </c>
      <c r="M739" s="15">
        <f t="shared" ca="1" si="70"/>
        <v>0</v>
      </c>
      <c r="N739" s="15">
        <f t="shared" ca="1" si="71"/>
        <v>41670</v>
      </c>
      <c r="Z739" s="1"/>
    </row>
    <row r="740" spans="3:26" x14ac:dyDescent="0.2">
      <c r="C740" s="39"/>
      <c r="D740" s="39"/>
      <c r="E740" s="38">
        <f>[2]!expavg($T$9:$T$26,$R$9:$R$26,K740,H740)</f>
        <v>0.60752408974439076</v>
      </c>
      <c r="F740" s="38" t="str">
        <f>[2]!expavg2($T$9:$T$26,I740,J740,$R$9:$R$26)</f>
        <v>ERROR: Please use BegPeriod &gt;= 1.</v>
      </c>
      <c r="H740" s="2">
        <f t="shared" si="68"/>
        <v>1</v>
      </c>
      <c r="I740" s="24">
        <f t="shared" si="72"/>
        <v>-22</v>
      </c>
      <c r="J740" s="24">
        <f t="shared" si="73"/>
        <v>2</v>
      </c>
      <c r="K740" s="17">
        <f t="shared" si="69"/>
        <v>-23</v>
      </c>
      <c r="M740" s="15">
        <f t="shared" ca="1" si="70"/>
        <v>0</v>
      </c>
      <c r="N740" s="15">
        <f t="shared" ca="1" si="71"/>
        <v>42035</v>
      </c>
      <c r="Z740" s="1"/>
    </row>
    <row r="741" spans="3:26" x14ac:dyDescent="0.2">
      <c r="C741" s="39"/>
      <c r="D741" s="39"/>
      <c r="E741" s="38">
        <f>[2]!expavg($T$9:$T$26,$R$9:$R$26,K741,H741)</f>
        <v>0.60472044954610527</v>
      </c>
      <c r="F741" s="38" t="str">
        <f>[2]!expavg2($T$9:$T$26,I741,J741,$R$9:$R$26)</f>
        <v>ERROR: Please use BegPeriod &gt;= 1.</v>
      </c>
      <c r="H741" s="2">
        <f t="shared" si="68"/>
        <v>0</v>
      </c>
      <c r="I741" s="24">
        <f t="shared" si="72"/>
        <v>-22</v>
      </c>
      <c r="J741" s="24">
        <f t="shared" si="73"/>
        <v>1</v>
      </c>
      <c r="K741" s="17">
        <f t="shared" si="69"/>
        <v>-22</v>
      </c>
      <c r="M741" s="15">
        <f t="shared" ca="1" si="70"/>
        <v>0</v>
      </c>
      <c r="N741" s="15">
        <f t="shared" ca="1" si="71"/>
        <v>42400</v>
      </c>
      <c r="Z741" s="1"/>
    </row>
    <row r="742" spans="3:26" x14ac:dyDescent="0.2">
      <c r="C742" s="39"/>
      <c r="D742" s="39"/>
      <c r="E742" s="38">
        <f>[2]!expavg($T$9:$T$26,$R$9:$R$26,K742,H742)</f>
        <v>0.60472044954610527</v>
      </c>
      <c r="F742" s="38" t="str">
        <f>[2]!expavg2($T$9:$T$26,I742,J742,$R$9:$R$26)</f>
        <v>ERROR: Please use BegPeriod &gt;= 1.</v>
      </c>
      <c r="H742" s="2">
        <f t="shared" si="68"/>
        <v>-1</v>
      </c>
      <c r="I742" s="24">
        <f t="shared" si="72"/>
        <v>-22</v>
      </c>
      <c r="J742" s="24">
        <f t="shared" si="73"/>
        <v>0</v>
      </c>
      <c r="K742" s="17">
        <f t="shared" si="69"/>
        <v>-21</v>
      </c>
      <c r="M742" s="15">
        <f t="shared" ca="1" si="70"/>
        <v>0</v>
      </c>
      <c r="N742" s="15">
        <f t="shared" ca="1" si="71"/>
        <v>0</v>
      </c>
      <c r="Z742" s="1"/>
    </row>
    <row r="743" spans="3:26" x14ac:dyDescent="0.2">
      <c r="C743" s="39"/>
      <c r="D743" s="39"/>
      <c r="E743" s="38">
        <f>[2]!expavg($T$9:$T$26,$R$9:$R$26,K743,H743)</f>
        <v>0.60472044954610527</v>
      </c>
      <c r="F743" s="38" t="str">
        <f>[2]!expavg2($T$9:$T$26,I743,J743,$R$9:$R$26)</f>
        <v>ERROR: Please use BegPeriod &gt;= 1.</v>
      </c>
      <c r="H743" s="2">
        <f t="shared" si="68"/>
        <v>-2</v>
      </c>
      <c r="I743" s="24">
        <f t="shared" si="72"/>
        <v>-22</v>
      </c>
      <c r="J743" s="24">
        <f t="shared" si="73"/>
        <v>-1</v>
      </c>
      <c r="K743" s="17">
        <f t="shared" si="69"/>
        <v>-20</v>
      </c>
      <c r="M743" s="15">
        <f t="shared" ca="1" si="70"/>
        <v>0</v>
      </c>
      <c r="N743" s="15">
        <f t="shared" ca="1" si="71"/>
        <v>0</v>
      </c>
      <c r="Z743" s="1"/>
    </row>
    <row r="744" spans="3:26" x14ac:dyDescent="0.2">
      <c r="C744" s="39"/>
      <c r="D744" s="39"/>
      <c r="E744" s="38">
        <f>[2]!expavg($T$9:$T$26,$R$9:$R$26,K744,H744)</f>
        <v>0.70939186407915755</v>
      </c>
      <c r="F744" s="38" t="str">
        <f>[2]!expavg2($T$9:$T$26,I744,J744,$R$9:$R$26)</f>
        <v>ERROR: Please use BegPeriod &gt;= 1.</v>
      </c>
      <c r="H744" s="2">
        <f t="shared" si="68"/>
        <v>14</v>
      </c>
      <c r="I744" s="24">
        <f t="shared" si="72"/>
        <v>-23</v>
      </c>
      <c r="J744" s="24">
        <f t="shared" si="73"/>
        <v>15</v>
      </c>
      <c r="K744" s="17">
        <f t="shared" si="69"/>
        <v>-37</v>
      </c>
      <c r="M744" s="15">
        <f t="shared" ca="1" si="70"/>
        <v>0</v>
      </c>
      <c r="N744" s="15">
        <f t="shared" ca="1" si="71"/>
        <v>37287</v>
      </c>
      <c r="Z744" s="1"/>
    </row>
    <row r="745" spans="3:26" x14ac:dyDescent="0.2">
      <c r="C745" s="39"/>
      <c r="D745" s="39"/>
      <c r="E745" s="38">
        <f>[2]!expavg($T$9:$T$26,$R$9:$R$26,K745,H745)</f>
        <v>0.67177139323204882</v>
      </c>
      <c r="F745" s="38" t="str">
        <f>[2]!expavg2($T$9:$T$26,I745,J745,$R$9:$R$26)</f>
        <v>ERROR: Please use BegPeriod &gt;= 1.</v>
      </c>
      <c r="H745" s="2">
        <f t="shared" si="68"/>
        <v>13</v>
      </c>
      <c r="I745" s="24">
        <f t="shared" si="72"/>
        <v>-23</v>
      </c>
      <c r="J745" s="24">
        <f t="shared" si="73"/>
        <v>14</v>
      </c>
      <c r="K745" s="17">
        <f t="shared" si="69"/>
        <v>-36</v>
      </c>
      <c r="M745" s="15">
        <f t="shared" ca="1" si="70"/>
        <v>0</v>
      </c>
      <c r="N745" s="15">
        <f t="shared" ca="1" si="71"/>
        <v>37652</v>
      </c>
      <c r="Z745" s="1"/>
    </row>
    <row r="746" spans="3:26" x14ac:dyDescent="0.2">
      <c r="C746" s="39"/>
      <c r="D746" s="39"/>
      <c r="E746" s="38">
        <f>[2]!expavg($T$9:$T$26,$R$9:$R$26,K746,H746)</f>
        <v>0.66945167850810816</v>
      </c>
      <c r="F746" s="38" t="str">
        <f>[2]!expavg2($T$9:$T$26,I746,J746,$R$9:$R$26)</f>
        <v>ERROR: Please use BegPeriod &gt;= 1.</v>
      </c>
      <c r="H746" s="2">
        <f t="shared" si="68"/>
        <v>12</v>
      </c>
      <c r="I746" s="24">
        <f t="shared" si="72"/>
        <v>-23</v>
      </c>
      <c r="J746" s="24">
        <f t="shared" si="73"/>
        <v>13</v>
      </c>
      <c r="K746" s="17">
        <f t="shared" si="69"/>
        <v>-35</v>
      </c>
      <c r="M746" s="15">
        <f t="shared" ca="1" si="70"/>
        <v>0</v>
      </c>
      <c r="N746" s="15">
        <f t="shared" ca="1" si="71"/>
        <v>38017</v>
      </c>
      <c r="Z746" s="1"/>
    </row>
    <row r="747" spans="3:26" x14ac:dyDescent="0.2">
      <c r="C747" s="39"/>
      <c r="D747" s="39"/>
      <c r="E747" s="38">
        <f>[2]!expavg($T$9:$T$26,$R$9:$R$26,K747,H747)</f>
        <v>0.67904388723605558</v>
      </c>
      <c r="F747" s="38" t="str">
        <f>[2]!expavg2($T$9:$T$26,I747,J747,$R$9:$R$26)</f>
        <v>ERROR: Please use BegPeriod &gt;= 1.</v>
      </c>
      <c r="H747" s="2">
        <f t="shared" si="68"/>
        <v>11</v>
      </c>
      <c r="I747" s="24">
        <f t="shared" si="72"/>
        <v>-23</v>
      </c>
      <c r="J747" s="24">
        <f t="shared" si="73"/>
        <v>12</v>
      </c>
      <c r="K747" s="17">
        <f t="shared" si="69"/>
        <v>-34</v>
      </c>
      <c r="M747" s="15">
        <f t="shared" ca="1" si="70"/>
        <v>0</v>
      </c>
      <c r="N747" s="15">
        <f t="shared" ca="1" si="71"/>
        <v>38383</v>
      </c>
      <c r="Z747" s="1"/>
    </row>
    <row r="748" spans="3:26" x14ac:dyDescent="0.2">
      <c r="C748" s="39"/>
      <c r="D748" s="39"/>
      <c r="E748" s="38">
        <f>[2]!expavg($T$9:$T$26,$R$9:$R$26,K748,H748)</f>
        <v>0.68957279758642287</v>
      </c>
      <c r="F748" s="38" t="str">
        <f>[2]!expavg2($T$9:$T$26,I748,J748,$R$9:$R$26)</f>
        <v>ERROR: Please use BegPeriod &gt;= 1.</v>
      </c>
      <c r="H748" s="2">
        <f t="shared" si="68"/>
        <v>10</v>
      </c>
      <c r="I748" s="24">
        <f t="shared" si="72"/>
        <v>-23</v>
      </c>
      <c r="J748" s="24">
        <f t="shared" si="73"/>
        <v>11</v>
      </c>
      <c r="K748" s="17">
        <f t="shared" si="69"/>
        <v>-33</v>
      </c>
      <c r="M748" s="15">
        <f t="shared" ca="1" si="70"/>
        <v>0</v>
      </c>
      <c r="N748" s="15">
        <f t="shared" ca="1" si="71"/>
        <v>38748</v>
      </c>
      <c r="Z748" s="1"/>
    </row>
    <row r="749" spans="3:26" x14ac:dyDescent="0.2">
      <c r="C749" s="39"/>
      <c r="D749" s="39"/>
      <c r="E749" s="38">
        <f>[2]!expavg($T$9:$T$26,$R$9:$R$26,K749,H749)</f>
        <v>0.67160897630855276</v>
      </c>
      <c r="F749" s="38" t="str">
        <f>[2]!expavg2($T$9:$T$26,I749,J749,$R$9:$R$26)</f>
        <v>ERROR: Please use BegPeriod &gt;= 1.</v>
      </c>
      <c r="H749" s="2">
        <f t="shared" si="68"/>
        <v>9</v>
      </c>
      <c r="I749" s="24">
        <f t="shared" si="72"/>
        <v>-23</v>
      </c>
      <c r="J749" s="24">
        <f t="shared" si="73"/>
        <v>10</v>
      </c>
      <c r="K749" s="17">
        <f t="shared" si="69"/>
        <v>-32</v>
      </c>
      <c r="M749" s="15">
        <f t="shared" ca="1" si="70"/>
        <v>0</v>
      </c>
      <c r="N749" s="15">
        <f t="shared" ca="1" si="71"/>
        <v>39113</v>
      </c>
      <c r="Z749" s="1"/>
    </row>
    <row r="750" spans="3:26" x14ac:dyDescent="0.2">
      <c r="C750" s="39"/>
      <c r="D750" s="39"/>
      <c r="E750" s="38">
        <f>[2]!expavg($T$9:$T$26,$R$9:$R$26,K750,H750)</f>
        <v>0.66527157980250695</v>
      </c>
      <c r="F750" s="38" t="str">
        <f>[2]!expavg2($T$9:$T$26,I750,J750,$R$9:$R$26)</f>
        <v>ERROR: Please use BegPeriod &gt;= 1.</v>
      </c>
      <c r="H750" s="2">
        <f t="shared" si="68"/>
        <v>8</v>
      </c>
      <c r="I750" s="24">
        <f t="shared" si="72"/>
        <v>-23</v>
      </c>
      <c r="J750" s="24">
        <f t="shared" si="73"/>
        <v>9</v>
      </c>
      <c r="K750" s="17">
        <f t="shared" si="69"/>
        <v>-31</v>
      </c>
      <c r="M750" s="15">
        <f t="shared" ca="1" si="70"/>
        <v>0</v>
      </c>
      <c r="N750" s="15">
        <f t="shared" ca="1" si="71"/>
        <v>39478</v>
      </c>
      <c r="Z750" s="1"/>
    </row>
    <row r="751" spans="3:26" x14ac:dyDescent="0.2">
      <c r="C751" s="39"/>
      <c r="D751" s="39"/>
      <c r="E751" s="38">
        <f>[2]!expavg($T$9:$T$26,$R$9:$R$26,K751,H751)</f>
        <v>0.68450987024306864</v>
      </c>
      <c r="F751" s="38" t="str">
        <f>[2]!expavg2($T$9:$T$26,I751,J751,$R$9:$R$26)</f>
        <v>ERROR: Please use BegPeriod &gt;= 1.</v>
      </c>
      <c r="H751" s="2">
        <f t="shared" si="68"/>
        <v>7</v>
      </c>
      <c r="I751" s="24">
        <f t="shared" si="72"/>
        <v>-23</v>
      </c>
      <c r="J751" s="24">
        <f t="shared" si="73"/>
        <v>8</v>
      </c>
      <c r="K751" s="17">
        <f t="shared" si="69"/>
        <v>-30</v>
      </c>
      <c r="M751" s="15">
        <f t="shared" ca="1" si="70"/>
        <v>0</v>
      </c>
      <c r="N751" s="15">
        <f t="shared" ca="1" si="71"/>
        <v>39844</v>
      </c>
      <c r="Z751" s="1"/>
    </row>
    <row r="752" spans="3:26" x14ac:dyDescent="0.2">
      <c r="C752" s="39"/>
      <c r="D752" s="39"/>
      <c r="E752" s="38">
        <f>[2]!expavg($T$9:$T$26,$R$9:$R$26,K752,H752)</f>
        <v>0.67627397338659268</v>
      </c>
      <c r="F752" s="38" t="str">
        <f>[2]!expavg2($T$9:$T$26,I752,J752,$R$9:$R$26)</f>
        <v>ERROR: Please use BegPeriod &gt;= 1.</v>
      </c>
      <c r="H752" s="2">
        <f t="shared" ref="H752:H815" si="74">J752-1</f>
        <v>6</v>
      </c>
      <c r="I752" s="24">
        <f t="shared" si="72"/>
        <v>-23</v>
      </c>
      <c r="J752" s="24">
        <f t="shared" si="73"/>
        <v>7</v>
      </c>
      <c r="K752" s="17">
        <f t="shared" ref="K752:K815" si="75">I752-J752+1</f>
        <v>-29</v>
      </c>
      <c r="M752" s="15">
        <f t="shared" ref="M752:M815" ca="1" si="76">OFFSET($P$27,-I752,0)</f>
        <v>0</v>
      </c>
      <c r="N752" s="15">
        <f t="shared" ref="N752:N815" ca="1" si="77">OFFSET($P$27,-J752,0)</f>
        <v>40209</v>
      </c>
      <c r="Z752" s="1"/>
    </row>
    <row r="753" spans="3:26" x14ac:dyDescent="0.2">
      <c r="C753" s="39"/>
      <c r="D753" s="39"/>
      <c r="E753" s="38">
        <f>[2]!expavg($T$9:$T$26,$R$9:$R$26,K753,H753)</f>
        <v>0.66006899259190965</v>
      </c>
      <c r="F753" s="38" t="str">
        <f>[2]!expavg2($T$9:$T$26,I753,J753,$R$9:$R$26)</f>
        <v>ERROR: Please use BegPeriod &gt;= 1.</v>
      </c>
      <c r="H753" s="2">
        <f t="shared" si="74"/>
        <v>5</v>
      </c>
      <c r="I753" s="24">
        <f t="shared" si="72"/>
        <v>-23</v>
      </c>
      <c r="J753" s="24">
        <f t="shared" si="73"/>
        <v>6</v>
      </c>
      <c r="K753" s="17">
        <f t="shared" si="75"/>
        <v>-28</v>
      </c>
      <c r="M753" s="15">
        <f t="shared" ca="1" si="76"/>
        <v>0</v>
      </c>
      <c r="N753" s="15">
        <f t="shared" ca="1" si="77"/>
        <v>40574</v>
      </c>
      <c r="Z753" s="1"/>
    </row>
    <row r="754" spans="3:26" x14ac:dyDescent="0.2">
      <c r="C754" s="39"/>
      <c r="D754" s="39"/>
      <c r="E754" s="38">
        <f>[2]!expavg($T$9:$T$26,$R$9:$R$26,K754,H754)</f>
        <v>0.64048216018789683</v>
      </c>
      <c r="F754" s="38" t="str">
        <f>[2]!expavg2($T$9:$T$26,I754,J754,$R$9:$R$26)</f>
        <v>ERROR: Please use BegPeriod &gt;= 1.</v>
      </c>
      <c r="H754" s="2">
        <f t="shared" si="74"/>
        <v>4</v>
      </c>
      <c r="I754" s="24">
        <f t="shared" si="72"/>
        <v>-23</v>
      </c>
      <c r="J754" s="24">
        <f t="shared" si="73"/>
        <v>5</v>
      </c>
      <c r="K754" s="17">
        <f t="shared" si="75"/>
        <v>-27</v>
      </c>
      <c r="M754" s="15">
        <f t="shared" ca="1" si="76"/>
        <v>0</v>
      </c>
      <c r="N754" s="15">
        <f t="shared" ca="1" si="77"/>
        <v>40939</v>
      </c>
      <c r="Z754" s="1"/>
    </row>
    <row r="755" spans="3:26" x14ac:dyDescent="0.2">
      <c r="C755" s="39"/>
      <c r="D755" s="39"/>
      <c r="E755" s="38">
        <f>[2]!expavg($T$9:$T$26,$R$9:$R$26,K755,H755)</f>
        <v>0.62815488340610859</v>
      </c>
      <c r="F755" s="38" t="str">
        <f>[2]!expavg2($T$9:$T$26,I755,J755,$R$9:$R$26)</f>
        <v>ERROR: Please use BegPeriod &gt;= 1.</v>
      </c>
      <c r="H755" s="2">
        <f t="shared" si="74"/>
        <v>3</v>
      </c>
      <c r="I755" s="24">
        <f t="shared" si="72"/>
        <v>-23</v>
      </c>
      <c r="J755" s="24">
        <f t="shared" si="73"/>
        <v>4</v>
      </c>
      <c r="K755" s="17">
        <f t="shared" si="75"/>
        <v>-26</v>
      </c>
      <c r="M755" s="15">
        <f t="shared" ca="1" si="76"/>
        <v>0</v>
      </c>
      <c r="N755" s="15">
        <f t="shared" ca="1" si="77"/>
        <v>41305</v>
      </c>
      <c r="Z755" s="1"/>
    </row>
    <row r="756" spans="3:26" x14ac:dyDescent="0.2">
      <c r="C756" s="39"/>
      <c r="D756" s="39"/>
      <c r="E756" s="38">
        <f>[2]!expavg($T$9:$T$26,$R$9:$R$26,K756,H756)</f>
        <v>0.62040838094689943</v>
      </c>
      <c r="F756" s="38" t="str">
        <f>[2]!expavg2($T$9:$T$26,I756,J756,$R$9:$R$26)</f>
        <v>ERROR: Please use BegPeriod &gt;= 1.</v>
      </c>
      <c r="H756" s="2">
        <f t="shared" si="74"/>
        <v>2</v>
      </c>
      <c r="I756" s="24">
        <f t="shared" ref="I756:I819" si="78">I739-1</f>
        <v>-23</v>
      </c>
      <c r="J756" s="24">
        <f t="shared" ref="J756:J819" si="79">J739</f>
        <v>3</v>
      </c>
      <c r="K756" s="17">
        <f t="shared" si="75"/>
        <v>-25</v>
      </c>
      <c r="M756" s="15">
        <f t="shared" ca="1" si="76"/>
        <v>0</v>
      </c>
      <c r="N756" s="15">
        <f t="shared" ca="1" si="77"/>
        <v>41670</v>
      </c>
      <c r="Z756" s="1"/>
    </row>
    <row r="757" spans="3:26" x14ac:dyDescent="0.2">
      <c r="C757" s="39"/>
      <c r="D757" s="39"/>
      <c r="E757" s="38">
        <f>[2]!expavg($T$9:$T$26,$R$9:$R$26,K757,H757)</f>
        <v>0.60752408974439076</v>
      </c>
      <c r="F757" s="38" t="str">
        <f>[2]!expavg2($T$9:$T$26,I757,J757,$R$9:$R$26)</f>
        <v>ERROR: Please use BegPeriod &gt;= 1.</v>
      </c>
      <c r="H757" s="2">
        <f t="shared" si="74"/>
        <v>1</v>
      </c>
      <c r="I757" s="24">
        <f t="shared" si="78"/>
        <v>-23</v>
      </c>
      <c r="J757" s="24">
        <f t="shared" si="79"/>
        <v>2</v>
      </c>
      <c r="K757" s="17">
        <f t="shared" si="75"/>
        <v>-24</v>
      </c>
      <c r="M757" s="15">
        <f t="shared" ca="1" si="76"/>
        <v>0</v>
      </c>
      <c r="N757" s="15">
        <f t="shared" ca="1" si="77"/>
        <v>42035</v>
      </c>
      <c r="Z757" s="1"/>
    </row>
    <row r="758" spans="3:26" x14ac:dyDescent="0.2">
      <c r="C758" s="39"/>
      <c r="D758" s="39"/>
      <c r="E758" s="38">
        <f>[2]!expavg($T$9:$T$26,$R$9:$R$26,K758,H758)</f>
        <v>0.60472044954610527</v>
      </c>
      <c r="F758" s="38" t="str">
        <f>[2]!expavg2($T$9:$T$26,I758,J758,$R$9:$R$26)</f>
        <v>ERROR: Please use BegPeriod &gt;= 1.</v>
      </c>
      <c r="H758" s="2">
        <f t="shared" si="74"/>
        <v>0</v>
      </c>
      <c r="I758" s="24">
        <f t="shared" si="78"/>
        <v>-23</v>
      </c>
      <c r="J758" s="24">
        <f t="shared" si="79"/>
        <v>1</v>
      </c>
      <c r="K758" s="17">
        <f t="shared" si="75"/>
        <v>-23</v>
      </c>
      <c r="M758" s="15">
        <f t="shared" ca="1" si="76"/>
        <v>0</v>
      </c>
      <c r="N758" s="15">
        <f t="shared" ca="1" si="77"/>
        <v>42400</v>
      </c>
      <c r="Z758" s="1"/>
    </row>
    <row r="759" spans="3:26" x14ac:dyDescent="0.2">
      <c r="C759" s="39"/>
      <c r="D759" s="39"/>
      <c r="E759" s="38">
        <f>[2]!expavg($T$9:$T$26,$R$9:$R$26,K759,H759)</f>
        <v>0.60472044954610527</v>
      </c>
      <c r="F759" s="38" t="str">
        <f>[2]!expavg2($T$9:$T$26,I759,J759,$R$9:$R$26)</f>
        <v>ERROR: Please use BegPeriod &gt;= 1.</v>
      </c>
      <c r="H759" s="2">
        <f t="shared" si="74"/>
        <v>-1</v>
      </c>
      <c r="I759" s="24">
        <f t="shared" si="78"/>
        <v>-23</v>
      </c>
      <c r="J759" s="24">
        <f t="shared" si="79"/>
        <v>0</v>
      </c>
      <c r="K759" s="17">
        <f t="shared" si="75"/>
        <v>-22</v>
      </c>
      <c r="M759" s="15">
        <f t="shared" ca="1" si="76"/>
        <v>0</v>
      </c>
      <c r="N759" s="15">
        <f t="shared" ca="1" si="77"/>
        <v>0</v>
      </c>
      <c r="Z759" s="1"/>
    </row>
    <row r="760" spans="3:26" x14ac:dyDescent="0.2">
      <c r="C760" s="39"/>
      <c r="D760" s="39"/>
      <c r="E760" s="38">
        <f>[2]!expavg($T$9:$T$26,$R$9:$R$26,K760,H760)</f>
        <v>0.60472044954610527</v>
      </c>
      <c r="F760" s="38" t="str">
        <f>[2]!expavg2($T$9:$T$26,I760,J760,$R$9:$R$26)</f>
        <v>ERROR: Please use BegPeriod &gt;= 1.</v>
      </c>
      <c r="H760" s="2">
        <f t="shared" si="74"/>
        <v>-2</v>
      </c>
      <c r="I760" s="24">
        <f t="shared" si="78"/>
        <v>-23</v>
      </c>
      <c r="J760" s="24">
        <f t="shared" si="79"/>
        <v>-1</v>
      </c>
      <c r="K760" s="17">
        <f t="shared" si="75"/>
        <v>-21</v>
      </c>
      <c r="M760" s="15">
        <f t="shared" ca="1" si="76"/>
        <v>0</v>
      </c>
      <c r="N760" s="15">
        <f t="shared" ca="1" si="77"/>
        <v>0</v>
      </c>
      <c r="Z760" s="1"/>
    </row>
    <row r="761" spans="3:26" x14ac:dyDescent="0.2">
      <c r="C761" s="39"/>
      <c r="D761" s="39"/>
      <c r="E761" s="38">
        <f>[2]!expavg($T$9:$T$26,$R$9:$R$26,K761,H761)</f>
        <v>0.70939186407915755</v>
      </c>
      <c r="F761" s="38" t="str">
        <f>[2]!expavg2($T$9:$T$26,I761,J761,$R$9:$R$26)</f>
        <v>ERROR: Please use BegPeriod &gt;= 1.</v>
      </c>
      <c r="H761" s="2">
        <f t="shared" si="74"/>
        <v>14</v>
      </c>
      <c r="I761" s="24">
        <f t="shared" si="78"/>
        <v>-24</v>
      </c>
      <c r="J761" s="24">
        <f t="shared" si="79"/>
        <v>15</v>
      </c>
      <c r="K761" s="17">
        <f t="shared" si="75"/>
        <v>-38</v>
      </c>
      <c r="M761" s="15">
        <f t="shared" ca="1" si="76"/>
        <v>0</v>
      </c>
      <c r="N761" s="15">
        <f t="shared" ca="1" si="77"/>
        <v>37287</v>
      </c>
      <c r="Z761" s="1"/>
    </row>
    <row r="762" spans="3:26" x14ac:dyDescent="0.2">
      <c r="C762" s="39"/>
      <c r="D762" s="39"/>
      <c r="E762" s="38">
        <f>[2]!expavg($T$9:$T$26,$R$9:$R$26,K762,H762)</f>
        <v>0.67177139323204882</v>
      </c>
      <c r="F762" s="38" t="str">
        <f>[2]!expavg2($T$9:$T$26,I762,J762,$R$9:$R$26)</f>
        <v>ERROR: Please use BegPeriod &gt;= 1.</v>
      </c>
      <c r="H762" s="2">
        <f t="shared" si="74"/>
        <v>13</v>
      </c>
      <c r="I762" s="24">
        <f t="shared" si="78"/>
        <v>-24</v>
      </c>
      <c r="J762" s="24">
        <f t="shared" si="79"/>
        <v>14</v>
      </c>
      <c r="K762" s="17">
        <f t="shared" si="75"/>
        <v>-37</v>
      </c>
      <c r="M762" s="15">
        <f t="shared" ca="1" si="76"/>
        <v>0</v>
      </c>
      <c r="N762" s="15">
        <f t="shared" ca="1" si="77"/>
        <v>37652</v>
      </c>
      <c r="Z762" s="1"/>
    </row>
    <row r="763" spans="3:26" x14ac:dyDescent="0.2">
      <c r="C763" s="39"/>
      <c r="D763" s="39"/>
      <c r="E763" s="38">
        <f>[2]!expavg($T$9:$T$26,$R$9:$R$26,K763,H763)</f>
        <v>0.66945167850810816</v>
      </c>
      <c r="F763" s="38" t="str">
        <f>[2]!expavg2($T$9:$T$26,I763,J763,$R$9:$R$26)</f>
        <v>ERROR: Please use BegPeriod &gt;= 1.</v>
      </c>
      <c r="H763" s="2">
        <f t="shared" si="74"/>
        <v>12</v>
      </c>
      <c r="I763" s="24">
        <f t="shared" si="78"/>
        <v>-24</v>
      </c>
      <c r="J763" s="24">
        <f t="shared" si="79"/>
        <v>13</v>
      </c>
      <c r="K763" s="17">
        <f t="shared" si="75"/>
        <v>-36</v>
      </c>
      <c r="M763" s="15">
        <f t="shared" ca="1" si="76"/>
        <v>0</v>
      </c>
      <c r="N763" s="15">
        <f t="shared" ca="1" si="77"/>
        <v>38017</v>
      </c>
      <c r="Z763" s="1"/>
    </row>
    <row r="764" spans="3:26" x14ac:dyDescent="0.2">
      <c r="C764" s="39"/>
      <c r="D764" s="39"/>
      <c r="E764" s="38">
        <f>[2]!expavg($T$9:$T$26,$R$9:$R$26,K764,H764)</f>
        <v>0.67904388723605558</v>
      </c>
      <c r="F764" s="38" t="str">
        <f>[2]!expavg2($T$9:$T$26,I764,J764,$R$9:$R$26)</f>
        <v>ERROR: Please use BegPeriod &gt;= 1.</v>
      </c>
      <c r="H764" s="2">
        <f t="shared" si="74"/>
        <v>11</v>
      </c>
      <c r="I764" s="24">
        <f t="shared" si="78"/>
        <v>-24</v>
      </c>
      <c r="J764" s="24">
        <f t="shared" si="79"/>
        <v>12</v>
      </c>
      <c r="K764" s="17">
        <f t="shared" si="75"/>
        <v>-35</v>
      </c>
      <c r="M764" s="15">
        <f t="shared" ca="1" si="76"/>
        <v>0</v>
      </c>
      <c r="N764" s="15">
        <f t="shared" ca="1" si="77"/>
        <v>38383</v>
      </c>
      <c r="Z764" s="1"/>
    </row>
    <row r="765" spans="3:26" x14ac:dyDescent="0.2">
      <c r="C765" s="39"/>
      <c r="D765" s="39"/>
      <c r="E765" s="38">
        <f>[2]!expavg($T$9:$T$26,$R$9:$R$26,K765,H765)</f>
        <v>0.68957279758642287</v>
      </c>
      <c r="F765" s="38" t="str">
        <f>[2]!expavg2($T$9:$T$26,I765,J765,$R$9:$R$26)</f>
        <v>ERROR: Please use BegPeriod &gt;= 1.</v>
      </c>
      <c r="H765" s="2">
        <f t="shared" si="74"/>
        <v>10</v>
      </c>
      <c r="I765" s="24">
        <f t="shared" si="78"/>
        <v>-24</v>
      </c>
      <c r="J765" s="24">
        <f t="shared" si="79"/>
        <v>11</v>
      </c>
      <c r="K765" s="17">
        <f t="shared" si="75"/>
        <v>-34</v>
      </c>
      <c r="M765" s="15">
        <f t="shared" ca="1" si="76"/>
        <v>0</v>
      </c>
      <c r="N765" s="15">
        <f t="shared" ca="1" si="77"/>
        <v>38748</v>
      </c>
      <c r="Z765" s="1"/>
    </row>
    <row r="766" spans="3:26" x14ac:dyDescent="0.2">
      <c r="C766" s="39"/>
      <c r="D766" s="39"/>
      <c r="E766" s="38">
        <f>[2]!expavg($T$9:$T$26,$R$9:$R$26,K766,H766)</f>
        <v>0.67160897630855276</v>
      </c>
      <c r="F766" s="38" t="str">
        <f>[2]!expavg2($T$9:$T$26,I766,J766,$R$9:$R$26)</f>
        <v>ERROR: Please use BegPeriod &gt;= 1.</v>
      </c>
      <c r="H766" s="2">
        <f t="shared" si="74"/>
        <v>9</v>
      </c>
      <c r="I766" s="24">
        <f t="shared" si="78"/>
        <v>-24</v>
      </c>
      <c r="J766" s="24">
        <f t="shared" si="79"/>
        <v>10</v>
      </c>
      <c r="K766" s="17">
        <f t="shared" si="75"/>
        <v>-33</v>
      </c>
      <c r="M766" s="15">
        <f t="shared" ca="1" si="76"/>
        <v>0</v>
      </c>
      <c r="N766" s="15">
        <f t="shared" ca="1" si="77"/>
        <v>39113</v>
      </c>
      <c r="Z766" s="1"/>
    </row>
    <row r="767" spans="3:26" x14ac:dyDescent="0.2">
      <c r="C767" s="39"/>
      <c r="D767" s="39"/>
      <c r="E767" s="38">
        <f>[2]!expavg($T$9:$T$26,$R$9:$R$26,K767,H767)</f>
        <v>0.66527157980250695</v>
      </c>
      <c r="F767" s="38" t="str">
        <f>[2]!expavg2($T$9:$T$26,I767,J767,$R$9:$R$26)</f>
        <v>ERROR: Please use BegPeriod &gt;= 1.</v>
      </c>
      <c r="H767" s="2">
        <f t="shared" si="74"/>
        <v>8</v>
      </c>
      <c r="I767" s="24">
        <f t="shared" si="78"/>
        <v>-24</v>
      </c>
      <c r="J767" s="24">
        <f t="shared" si="79"/>
        <v>9</v>
      </c>
      <c r="K767" s="17">
        <f t="shared" si="75"/>
        <v>-32</v>
      </c>
      <c r="M767" s="15">
        <f t="shared" ca="1" si="76"/>
        <v>0</v>
      </c>
      <c r="N767" s="15">
        <f t="shared" ca="1" si="77"/>
        <v>39478</v>
      </c>
      <c r="Z767" s="1"/>
    </row>
    <row r="768" spans="3:26" x14ac:dyDescent="0.2">
      <c r="C768" s="39"/>
      <c r="D768" s="39"/>
      <c r="E768" s="38">
        <f>[2]!expavg($T$9:$T$26,$R$9:$R$26,K768,H768)</f>
        <v>0.68450987024306864</v>
      </c>
      <c r="F768" s="38" t="str">
        <f>[2]!expavg2($T$9:$T$26,I768,J768,$R$9:$R$26)</f>
        <v>ERROR: Please use BegPeriod &gt;= 1.</v>
      </c>
      <c r="H768" s="2">
        <f t="shared" si="74"/>
        <v>7</v>
      </c>
      <c r="I768" s="24">
        <f t="shared" si="78"/>
        <v>-24</v>
      </c>
      <c r="J768" s="24">
        <f t="shared" si="79"/>
        <v>8</v>
      </c>
      <c r="K768" s="17">
        <f t="shared" si="75"/>
        <v>-31</v>
      </c>
      <c r="M768" s="15">
        <f t="shared" ca="1" si="76"/>
        <v>0</v>
      </c>
      <c r="N768" s="15">
        <f t="shared" ca="1" si="77"/>
        <v>39844</v>
      </c>
      <c r="Z768" s="1"/>
    </row>
    <row r="769" spans="3:26" x14ac:dyDescent="0.2">
      <c r="C769" s="39"/>
      <c r="D769" s="39"/>
      <c r="E769" s="38">
        <f>[2]!expavg($T$9:$T$26,$R$9:$R$26,K769,H769)</f>
        <v>0.67627397338659268</v>
      </c>
      <c r="F769" s="38" t="str">
        <f>[2]!expavg2($T$9:$T$26,I769,J769,$R$9:$R$26)</f>
        <v>ERROR: Please use BegPeriod &gt;= 1.</v>
      </c>
      <c r="H769" s="2">
        <f t="shared" si="74"/>
        <v>6</v>
      </c>
      <c r="I769" s="24">
        <f t="shared" si="78"/>
        <v>-24</v>
      </c>
      <c r="J769" s="24">
        <f t="shared" si="79"/>
        <v>7</v>
      </c>
      <c r="K769" s="17">
        <f t="shared" si="75"/>
        <v>-30</v>
      </c>
      <c r="M769" s="15">
        <f t="shared" ca="1" si="76"/>
        <v>0</v>
      </c>
      <c r="N769" s="15">
        <f t="shared" ca="1" si="77"/>
        <v>40209</v>
      </c>
      <c r="Z769" s="1"/>
    </row>
    <row r="770" spans="3:26" x14ac:dyDescent="0.2">
      <c r="C770" s="39"/>
      <c r="D770" s="39"/>
      <c r="E770" s="38">
        <f>[2]!expavg($T$9:$T$26,$R$9:$R$26,K770,H770)</f>
        <v>0.66006899259190965</v>
      </c>
      <c r="F770" s="38" t="str">
        <f>[2]!expavg2($T$9:$T$26,I770,J770,$R$9:$R$26)</f>
        <v>ERROR: Please use BegPeriod &gt;= 1.</v>
      </c>
      <c r="H770" s="2">
        <f t="shared" si="74"/>
        <v>5</v>
      </c>
      <c r="I770" s="24">
        <f t="shared" si="78"/>
        <v>-24</v>
      </c>
      <c r="J770" s="24">
        <f t="shared" si="79"/>
        <v>6</v>
      </c>
      <c r="K770" s="17">
        <f t="shared" si="75"/>
        <v>-29</v>
      </c>
      <c r="M770" s="15">
        <f t="shared" ca="1" si="76"/>
        <v>0</v>
      </c>
      <c r="N770" s="15">
        <f t="shared" ca="1" si="77"/>
        <v>40574</v>
      </c>
      <c r="Z770" s="1"/>
    </row>
    <row r="771" spans="3:26" x14ac:dyDescent="0.2">
      <c r="C771" s="39"/>
      <c r="D771" s="39"/>
      <c r="E771" s="38">
        <f>[2]!expavg($T$9:$T$26,$R$9:$R$26,K771,H771)</f>
        <v>0.64048216018789683</v>
      </c>
      <c r="F771" s="38" t="str">
        <f>[2]!expavg2($T$9:$T$26,I771,J771,$R$9:$R$26)</f>
        <v>ERROR: Please use BegPeriod &gt;= 1.</v>
      </c>
      <c r="H771" s="2">
        <f t="shared" si="74"/>
        <v>4</v>
      </c>
      <c r="I771" s="24">
        <f t="shared" si="78"/>
        <v>-24</v>
      </c>
      <c r="J771" s="24">
        <f t="shared" si="79"/>
        <v>5</v>
      </c>
      <c r="K771" s="17">
        <f t="shared" si="75"/>
        <v>-28</v>
      </c>
      <c r="M771" s="15">
        <f t="shared" ca="1" si="76"/>
        <v>0</v>
      </c>
      <c r="N771" s="15">
        <f t="shared" ca="1" si="77"/>
        <v>40939</v>
      </c>
      <c r="Z771" s="1"/>
    </row>
    <row r="772" spans="3:26" x14ac:dyDescent="0.2">
      <c r="C772" s="39"/>
      <c r="D772" s="39"/>
      <c r="E772" s="38">
        <f>[2]!expavg($T$9:$T$26,$R$9:$R$26,K772,H772)</f>
        <v>0.62815488340610859</v>
      </c>
      <c r="F772" s="38" t="str">
        <f>[2]!expavg2($T$9:$T$26,I772,J772,$R$9:$R$26)</f>
        <v>ERROR: Please use BegPeriod &gt;= 1.</v>
      </c>
      <c r="H772" s="2">
        <f t="shared" si="74"/>
        <v>3</v>
      </c>
      <c r="I772" s="24">
        <f t="shared" si="78"/>
        <v>-24</v>
      </c>
      <c r="J772" s="24">
        <f t="shared" si="79"/>
        <v>4</v>
      </c>
      <c r="K772" s="17">
        <f t="shared" si="75"/>
        <v>-27</v>
      </c>
      <c r="M772" s="15">
        <f t="shared" ca="1" si="76"/>
        <v>0</v>
      </c>
      <c r="N772" s="15">
        <f t="shared" ca="1" si="77"/>
        <v>41305</v>
      </c>
      <c r="Z772" s="1"/>
    </row>
    <row r="773" spans="3:26" x14ac:dyDescent="0.2">
      <c r="C773" s="39"/>
      <c r="D773" s="39"/>
      <c r="E773" s="38">
        <f>[2]!expavg($T$9:$T$26,$R$9:$R$26,K773,H773)</f>
        <v>0.62040838094689943</v>
      </c>
      <c r="F773" s="38" t="str">
        <f>[2]!expavg2($T$9:$T$26,I773,J773,$R$9:$R$26)</f>
        <v>ERROR: Please use BegPeriod &gt;= 1.</v>
      </c>
      <c r="H773" s="2">
        <f t="shared" si="74"/>
        <v>2</v>
      </c>
      <c r="I773" s="24">
        <f t="shared" si="78"/>
        <v>-24</v>
      </c>
      <c r="J773" s="24">
        <f t="shared" si="79"/>
        <v>3</v>
      </c>
      <c r="K773" s="17">
        <f t="shared" si="75"/>
        <v>-26</v>
      </c>
      <c r="M773" s="15">
        <f t="shared" ca="1" si="76"/>
        <v>0</v>
      </c>
      <c r="N773" s="15">
        <f t="shared" ca="1" si="77"/>
        <v>41670</v>
      </c>
      <c r="Z773" s="1"/>
    </row>
    <row r="774" spans="3:26" x14ac:dyDescent="0.2">
      <c r="C774" s="39"/>
      <c r="D774" s="39"/>
      <c r="E774" s="38">
        <f>[2]!expavg($T$9:$T$26,$R$9:$R$26,K774,H774)</f>
        <v>0.60752408974439076</v>
      </c>
      <c r="F774" s="38" t="str">
        <f>[2]!expavg2($T$9:$T$26,I774,J774,$R$9:$R$26)</f>
        <v>ERROR: Please use BegPeriod &gt;= 1.</v>
      </c>
      <c r="H774" s="2">
        <f t="shared" si="74"/>
        <v>1</v>
      </c>
      <c r="I774" s="24">
        <f t="shared" si="78"/>
        <v>-24</v>
      </c>
      <c r="J774" s="24">
        <f t="shared" si="79"/>
        <v>2</v>
      </c>
      <c r="K774" s="17">
        <f t="shared" si="75"/>
        <v>-25</v>
      </c>
      <c r="M774" s="15">
        <f t="shared" ca="1" si="76"/>
        <v>0</v>
      </c>
      <c r="N774" s="15">
        <f t="shared" ca="1" si="77"/>
        <v>42035</v>
      </c>
      <c r="Z774" s="1"/>
    </row>
    <row r="775" spans="3:26" x14ac:dyDescent="0.2">
      <c r="C775" s="39"/>
      <c r="D775" s="39"/>
      <c r="E775" s="38">
        <f>[2]!expavg($T$9:$T$26,$R$9:$R$26,K775,H775)</f>
        <v>0.60472044954610527</v>
      </c>
      <c r="F775" s="38" t="str">
        <f>[2]!expavg2($T$9:$T$26,I775,J775,$R$9:$R$26)</f>
        <v>ERROR: Please use BegPeriod &gt;= 1.</v>
      </c>
      <c r="H775" s="2">
        <f t="shared" si="74"/>
        <v>0</v>
      </c>
      <c r="I775" s="24">
        <f t="shared" si="78"/>
        <v>-24</v>
      </c>
      <c r="J775" s="24">
        <f t="shared" si="79"/>
        <v>1</v>
      </c>
      <c r="K775" s="17">
        <f t="shared" si="75"/>
        <v>-24</v>
      </c>
      <c r="M775" s="15">
        <f t="shared" ca="1" si="76"/>
        <v>0</v>
      </c>
      <c r="N775" s="15">
        <f t="shared" ca="1" si="77"/>
        <v>42400</v>
      </c>
      <c r="Z775" s="1"/>
    </row>
    <row r="776" spans="3:26" x14ac:dyDescent="0.2">
      <c r="C776" s="39"/>
      <c r="D776" s="39"/>
      <c r="E776" s="38">
        <f>[2]!expavg($T$9:$T$26,$R$9:$R$26,K776,H776)</f>
        <v>0.60472044954610527</v>
      </c>
      <c r="F776" s="38" t="str">
        <f>[2]!expavg2($T$9:$T$26,I776,J776,$R$9:$R$26)</f>
        <v>ERROR: Please use BegPeriod &gt;= 1.</v>
      </c>
      <c r="H776" s="2">
        <f t="shared" si="74"/>
        <v>-1</v>
      </c>
      <c r="I776" s="24">
        <f t="shared" si="78"/>
        <v>-24</v>
      </c>
      <c r="J776" s="24">
        <f t="shared" si="79"/>
        <v>0</v>
      </c>
      <c r="K776" s="17">
        <f t="shared" si="75"/>
        <v>-23</v>
      </c>
      <c r="M776" s="15">
        <f t="shared" ca="1" si="76"/>
        <v>0</v>
      </c>
      <c r="N776" s="15">
        <f t="shared" ca="1" si="77"/>
        <v>0</v>
      </c>
      <c r="Z776" s="1"/>
    </row>
    <row r="777" spans="3:26" x14ac:dyDescent="0.2">
      <c r="C777" s="39"/>
      <c r="D777" s="39"/>
      <c r="E777" s="38">
        <f>[2]!expavg($T$9:$T$26,$R$9:$R$26,K777,H777)</f>
        <v>0.60472044954610527</v>
      </c>
      <c r="F777" s="38" t="str">
        <f>[2]!expavg2($T$9:$T$26,I777,J777,$R$9:$R$26)</f>
        <v>ERROR: Please use BegPeriod &gt;= 1.</v>
      </c>
      <c r="H777" s="2">
        <f t="shared" si="74"/>
        <v>-2</v>
      </c>
      <c r="I777" s="24">
        <f t="shared" si="78"/>
        <v>-24</v>
      </c>
      <c r="J777" s="24">
        <f t="shared" si="79"/>
        <v>-1</v>
      </c>
      <c r="K777" s="17">
        <f t="shared" si="75"/>
        <v>-22</v>
      </c>
      <c r="M777" s="15">
        <f t="shared" ca="1" si="76"/>
        <v>0</v>
      </c>
      <c r="N777" s="15">
        <f t="shared" ca="1" si="77"/>
        <v>0</v>
      </c>
      <c r="Z777" s="1"/>
    </row>
    <row r="778" spans="3:26" x14ac:dyDescent="0.2">
      <c r="C778" s="39"/>
      <c r="D778" s="39"/>
      <c r="E778" s="38">
        <f>[2]!expavg($T$9:$T$26,$R$9:$R$26,K778,H778)</f>
        <v>0.70939186407915755</v>
      </c>
      <c r="F778" s="38" t="str">
        <f>[2]!expavg2($T$9:$T$26,I778,J778,$R$9:$R$26)</f>
        <v>ERROR: Please use BegPeriod &gt;= 1.</v>
      </c>
      <c r="H778" s="2">
        <f t="shared" si="74"/>
        <v>14</v>
      </c>
      <c r="I778" s="24">
        <f t="shared" si="78"/>
        <v>-25</v>
      </c>
      <c r="J778" s="24">
        <f t="shared" si="79"/>
        <v>15</v>
      </c>
      <c r="K778" s="17">
        <f t="shared" si="75"/>
        <v>-39</v>
      </c>
      <c r="M778" s="15">
        <f t="shared" ca="1" si="76"/>
        <v>0</v>
      </c>
      <c r="N778" s="15">
        <f t="shared" ca="1" si="77"/>
        <v>37287</v>
      </c>
      <c r="Z778" s="1"/>
    </row>
    <row r="779" spans="3:26" x14ac:dyDescent="0.2">
      <c r="C779" s="39"/>
      <c r="D779" s="39"/>
      <c r="E779" s="38">
        <f>[2]!expavg($T$9:$T$26,$R$9:$R$26,K779,H779)</f>
        <v>0.67177139323204882</v>
      </c>
      <c r="F779" s="38" t="str">
        <f>[2]!expavg2($T$9:$T$26,I779,J779,$R$9:$R$26)</f>
        <v>ERROR: Please use BegPeriod &gt;= 1.</v>
      </c>
      <c r="H779" s="2">
        <f t="shared" si="74"/>
        <v>13</v>
      </c>
      <c r="I779" s="24">
        <f t="shared" si="78"/>
        <v>-25</v>
      </c>
      <c r="J779" s="24">
        <f t="shared" si="79"/>
        <v>14</v>
      </c>
      <c r="K779" s="17">
        <f t="shared" si="75"/>
        <v>-38</v>
      </c>
      <c r="M779" s="15">
        <f t="shared" ca="1" si="76"/>
        <v>0</v>
      </c>
      <c r="N779" s="15">
        <f t="shared" ca="1" si="77"/>
        <v>37652</v>
      </c>
      <c r="Z779" s="1"/>
    </row>
    <row r="780" spans="3:26" x14ac:dyDescent="0.2">
      <c r="C780" s="39"/>
      <c r="D780" s="39"/>
      <c r="E780" s="38">
        <f>[2]!expavg($T$9:$T$26,$R$9:$R$26,K780,H780)</f>
        <v>0.66945167850810816</v>
      </c>
      <c r="F780" s="38" t="str">
        <f>[2]!expavg2($T$9:$T$26,I780,J780,$R$9:$R$26)</f>
        <v>ERROR: Please use BegPeriod &gt;= 1.</v>
      </c>
      <c r="H780" s="2">
        <f t="shared" si="74"/>
        <v>12</v>
      </c>
      <c r="I780" s="24">
        <f t="shared" si="78"/>
        <v>-25</v>
      </c>
      <c r="J780" s="24">
        <f t="shared" si="79"/>
        <v>13</v>
      </c>
      <c r="K780" s="17">
        <f t="shared" si="75"/>
        <v>-37</v>
      </c>
      <c r="M780" s="15">
        <f t="shared" ca="1" si="76"/>
        <v>0</v>
      </c>
      <c r="N780" s="15">
        <f t="shared" ca="1" si="77"/>
        <v>38017</v>
      </c>
      <c r="Z780" s="1"/>
    </row>
    <row r="781" spans="3:26" x14ac:dyDescent="0.2">
      <c r="C781" s="39"/>
      <c r="D781" s="39"/>
      <c r="E781" s="38">
        <f>[2]!expavg($T$9:$T$26,$R$9:$R$26,K781,H781)</f>
        <v>0.67904388723605558</v>
      </c>
      <c r="F781" s="38" t="str">
        <f>[2]!expavg2($T$9:$T$26,I781,J781,$R$9:$R$26)</f>
        <v>ERROR: Please use BegPeriod &gt;= 1.</v>
      </c>
      <c r="H781" s="2">
        <f t="shared" si="74"/>
        <v>11</v>
      </c>
      <c r="I781" s="24">
        <f t="shared" si="78"/>
        <v>-25</v>
      </c>
      <c r="J781" s="24">
        <f t="shared" si="79"/>
        <v>12</v>
      </c>
      <c r="K781" s="17">
        <f t="shared" si="75"/>
        <v>-36</v>
      </c>
      <c r="M781" s="15">
        <f t="shared" ca="1" si="76"/>
        <v>0</v>
      </c>
      <c r="N781" s="15">
        <f t="shared" ca="1" si="77"/>
        <v>38383</v>
      </c>
      <c r="Z781" s="1"/>
    </row>
    <row r="782" spans="3:26" x14ac:dyDescent="0.2">
      <c r="C782" s="39"/>
      <c r="D782" s="39"/>
      <c r="E782" s="38">
        <f>[2]!expavg($T$9:$T$26,$R$9:$R$26,K782,H782)</f>
        <v>0.68957279758642287</v>
      </c>
      <c r="F782" s="38" t="str">
        <f>[2]!expavg2($T$9:$T$26,I782,J782,$R$9:$R$26)</f>
        <v>ERROR: Please use BegPeriod &gt;= 1.</v>
      </c>
      <c r="H782" s="2">
        <f t="shared" si="74"/>
        <v>10</v>
      </c>
      <c r="I782" s="24">
        <f t="shared" si="78"/>
        <v>-25</v>
      </c>
      <c r="J782" s="24">
        <f t="shared" si="79"/>
        <v>11</v>
      </c>
      <c r="K782" s="17">
        <f t="shared" si="75"/>
        <v>-35</v>
      </c>
      <c r="M782" s="15">
        <f t="shared" ca="1" si="76"/>
        <v>0</v>
      </c>
      <c r="N782" s="15">
        <f t="shared" ca="1" si="77"/>
        <v>38748</v>
      </c>
      <c r="Z782" s="1"/>
    </row>
    <row r="783" spans="3:26" x14ac:dyDescent="0.2">
      <c r="C783" s="39"/>
      <c r="D783" s="39"/>
      <c r="E783" s="38">
        <f>[2]!expavg($T$9:$T$26,$R$9:$R$26,K783,H783)</f>
        <v>0.67160897630855276</v>
      </c>
      <c r="F783" s="38" t="str">
        <f>[2]!expavg2($T$9:$T$26,I783,J783,$R$9:$R$26)</f>
        <v>ERROR: Please use BegPeriod &gt;= 1.</v>
      </c>
      <c r="H783" s="2">
        <f t="shared" si="74"/>
        <v>9</v>
      </c>
      <c r="I783" s="24">
        <f t="shared" si="78"/>
        <v>-25</v>
      </c>
      <c r="J783" s="24">
        <f t="shared" si="79"/>
        <v>10</v>
      </c>
      <c r="K783" s="17">
        <f t="shared" si="75"/>
        <v>-34</v>
      </c>
      <c r="M783" s="15">
        <f t="shared" ca="1" si="76"/>
        <v>0</v>
      </c>
      <c r="N783" s="15">
        <f t="shared" ca="1" si="77"/>
        <v>39113</v>
      </c>
      <c r="Z783" s="1"/>
    </row>
    <row r="784" spans="3:26" x14ac:dyDescent="0.2">
      <c r="C784" s="39"/>
      <c r="D784" s="39"/>
      <c r="E784" s="38">
        <f>[2]!expavg($T$9:$T$26,$R$9:$R$26,K784,H784)</f>
        <v>0.66527157980250695</v>
      </c>
      <c r="F784" s="38" t="str">
        <f>[2]!expavg2($T$9:$T$26,I784,J784,$R$9:$R$26)</f>
        <v>ERROR: Please use BegPeriod &gt;= 1.</v>
      </c>
      <c r="H784" s="2">
        <f t="shared" si="74"/>
        <v>8</v>
      </c>
      <c r="I784" s="24">
        <f t="shared" si="78"/>
        <v>-25</v>
      </c>
      <c r="J784" s="24">
        <f t="shared" si="79"/>
        <v>9</v>
      </c>
      <c r="K784" s="17">
        <f t="shared" si="75"/>
        <v>-33</v>
      </c>
      <c r="M784" s="15">
        <f t="shared" ca="1" si="76"/>
        <v>0</v>
      </c>
      <c r="N784" s="15">
        <f t="shared" ca="1" si="77"/>
        <v>39478</v>
      </c>
      <c r="Z784" s="1"/>
    </row>
    <row r="785" spans="3:26" x14ac:dyDescent="0.2">
      <c r="C785" s="39"/>
      <c r="D785" s="39"/>
      <c r="E785" s="38">
        <f>[2]!expavg($T$9:$T$26,$R$9:$R$26,K785,H785)</f>
        <v>0.68450987024306864</v>
      </c>
      <c r="F785" s="38" t="str">
        <f>[2]!expavg2($T$9:$T$26,I785,J785,$R$9:$R$26)</f>
        <v>ERROR: Please use BegPeriod &gt;= 1.</v>
      </c>
      <c r="H785" s="2">
        <f t="shared" si="74"/>
        <v>7</v>
      </c>
      <c r="I785" s="24">
        <f t="shared" si="78"/>
        <v>-25</v>
      </c>
      <c r="J785" s="24">
        <f t="shared" si="79"/>
        <v>8</v>
      </c>
      <c r="K785" s="17">
        <f t="shared" si="75"/>
        <v>-32</v>
      </c>
      <c r="M785" s="15">
        <f t="shared" ca="1" si="76"/>
        <v>0</v>
      </c>
      <c r="N785" s="15">
        <f t="shared" ca="1" si="77"/>
        <v>39844</v>
      </c>
      <c r="Z785" s="1"/>
    </row>
    <row r="786" spans="3:26" x14ac:dyDescent="0.2">
      <c r="C786" s="39"/>
      <c r="D786" s="39"/>
      <c r="E786" s="38">
        <f>[2]!expavg($T$9:$T$26,$R$9:$R$26,K786,H786)</f>
        <v>0.67627397338659268</v>
      </c>
      <c r="F786" s="38" t="str">
        <f>[2]!expavg2($T$9:$T$26,I786,J786,$R$9:$R$26)</f>
        <v>ERROR: Please use BegPeriod &gt;= 1.</v>
      </c>
      <c r="H786" s="2">
        <f t="shared" si="74"/>
        <v>6</v>
      </c>
      <c r="I786" s="24">
        <f t="shared" si="78"/>
        <v>-25</v>
      </c>
      <c r="J786" s="24">
        <f t="shared" si="79"/>
        <v>7</v>
      </c>
      <c r="K786" s="17">
        <f t="shared" si="75"/>
        <v>-31</v>
      </c>
      <c r="M786" s="15">
        <f t="shared" ca="1" si="76"/>
        <v>0</v>
      </c>
      <c r="N786" s="15">
        <f t="shared" ca="1" si="77"/>
        <v>40209</v>
      </c>
      <c r="Z786" s="1"/>
    </row>
    <row r="787" spans="3:26" x14ac:dyDescent="0.2">
      <c r="C787" s="39"/>
      <c r="D787" s="39"/>
      <c r="E787" s="38">
        <f>[2]!expavg($T$9:$T$26,$R$9:$R$26,K787,H787)</f>
        <v>0.66006899259190965</v>
      </c>
      <c r="F787" s="38" t="str">
        <f>[2]!expavg2($T$9:$T$26,I787,J787,$R$9:$R$26)</f>
        <v>ERROR: Please use BegPeriod &gt;= 1.</v>
      </c>
      <c r="H787" s="2">
        <f t="shared" si="74"/>
        <v>5</v>
      </c>
      <c r="I787" s="24">
        <f t="shared" si="78"/>
        <v>-25</v>
      </c>
      <c r="J787" s="24">
        <f t="shared" si="79"/>
        <v>6</v>
      </c>
      <c r="K787" s="17">
        <f t="shared" si="75"/>
        <v>-30</v>
      </c>
      <c r="M787" s="15">
        <f t="shared" ca="1" si="76"/>
        <v>0</v>
      </c>
      <c r="N787" s="15">
        <f t="shared" ca="1" si="77"/>
        <v>40574</v>
      </c>
      <c r="Z787" s="1"/>
    </row>
    <row r="788" spans="3:26" x14ac:dyDescent="0.2">
      <c r="C788" s="39"/>
      <c r="D788" s="39"/>
      <c r="E788" s="38">
        <f>[2]!expavg($T$9:$T$26,$R$9:$R$26,K788,H788)</f>
        <v>0.64048216018789683</v>
      </c>
      <c r="F788" s="38" t="str">
        <f>[2]!expavg2($T$9:$T$26,I788,J788,$R$9:$R$26)</f>
        <v>ERROR: Please use BegPeriod &gt;= 1.</v>
      </c>
      <c r="H788" s="2">
        <f t="shared" si="74"/>
        <v>4</v>
      </c>
      <c r="I788" s="24">
        <f t="shared" si="78"/>
        <v>-25</v>
      </c>
      <c r="J788" s="24">
        <f t="shared" si="79"/>
        <v>5</v>
      </c>
      <c r="K788" s="17">
        <f t="shared" si="75"/>
        <v>-29</v>
      </c>
      <c r="M788" s="15">
        <f t="shared" ca="1" si="76"/>
        <v>0</v>
      </c>
      <c r="N788" s="15">
        <f t="shared" ca="1" si="77"/>
        <v>40939</v>
      </c>
      <c r="Z788" s="1"/>
    </row>
    <row r="789" spans="3:26" x14ac:dyDescent="0.2">
      <c r="C789" s="39"/>
      <c r="D789" s="39"/>
      <c r="E789" s="38">
        <f>[2]!expavg($T$9:$T$26,$R$9:$R$26,K789,H789)</f>
        <v>0.62815488340610859</v>
      </c>
      <c r="F789" s="38" t="str">
        <f>[2]!expavg2($T$9:$T$26,I789,J789,$R$9:$R$26)</f>
        <v>ERROR: Please use BegPeriod &gt;= 1.</v>
      </c>
      <c r="H789" s="2">
        <f t="shared" si="74"/>
        <v>3</v>
      </c>
      <c r="I789" s="24">
        <f t="shared" si="78"/>
        <v>-25</v>
      </c>
      <c r="J789" s="24">
        <f t="shared" si="79"/>
        <v>4</v>
      </c>
      <c r="K789" s="17">
        <f t="shared" si="75"/>
        <v>-28</v>
      </c>
      <c r="M789" s="15">
        <f t="shared" ca="1" si="76"/>
        <v>0</v>
      </c>
      <c r="N789" s="15">
        <f t="shared" ca="1" si="77"/>
        <v>41305</v>
      </c>
      <c r="Z789" s="1"/>
    </row>
    <row r="790" spans="3:26" x14ac:dyDescent="0.2">
      <c r="C790" s="39"/>
      <c r="D790" s="39"/>
      <c r="E790" s="38">
        <f>[2]!expavg($T$9:$T$26,$R$9:$R$26,K790,H790)</f>
        <v>0.62040838094689943</v>
      </c>
      <c r="F790" s="38" t="str">
        <f>[2]!expavg2($T$9:$T$26,I790,J790,$R$9:$R$26)</f>
        <v>ERROR: Please use BegPeriod &gt;= 1.</v>
      </c>
      <c r="H790" s="2">
        <f t="shared" si="74"/>
        <v>2</v>
      </c>
      <c r="I790" s="24">
        <f t="shared" si="78"/>
        <v>-25</v>
      </c>
      <c r="J790" s="24">
        <f t="shared" si="79"/>
        <v>3</v>
      </c>
      <c r="K790" s="17">
        <f t="shared" si="75"/>
        <v>-27</v>
      </c>
      <c r="M790" s="15">
        <f t="shared" ca="1" si="76"/>
        <v>0</v>
      </c>
      <c r="N790" s="15">
        <f t="shared" ca="1" si="77"/>
        <v>41670</v>
      </c>
      <c r="Z790" s="1"/>
    </row>
    <row r="791" spans="3:26" x14ac:dyDescent="0.2">
      <c r="C791" s="39"/>
      <c r="D791" s="39"/>
      <c r="E791" s="38">
        <f>[2]!expavg($T$9:$T$26,$R$9:$R$26,K791,H791)</f>
        <v>0.60752408974439076</v>
      </c>
      <c r="F791" s="38" t="str">
        <f>[2]!expavg2($T$9:$T$26,I791,J791,$R$9:$R$26)</f>
        <v>ERROR: Please use BegPeriod &gt;= 1.</v>
      </c>
      <c r="H791" s="2">
        <f t="shared" si="74"/>
        <v>1</v>
      </c>
      <c r="I791" s="24">
        <f t="shared" si="78"/>
        <v>-25</v>
      </c>
      <c r="J791" s="24">
        <f t="shared" si="79"/>
        <v>2</v>
      </c>
      <c r="K791" s="17">
        <f t="shared" si="75"/>
        <v>-26</v>
      </c>
      <c r="M791" s="15">
        <f t="shared" ca="1" si="76"/>
        <v>0</v>
      </c>
      <c r="N791" s="15">
        <f t="shared" ca="1" si="77"/>
        <v>42035</v>
      </c>
      <c r="Z791" s="1"/>
    </row>
    <row r="792" spans="3:26" x14ac:dyDescent="0.2">
      <c r="C792" s="39"/>
      <c r="D792" s="39"/>
      <c r="E792" s="38">
        <f>[2]!expavg($T$9:$T$26,$R$9:$R$26,K792,H792)</f>
        <v>0.60472044954610527</v>
      </c>
      <c r="F792" s="38" t="str">
        <f>[2]!expavg2($T$9:$T$26,I792,J792,$R$9:$R$26)</f>
        <v>ERROR: Please use BegPeriod &gt;= 1.</v>
      </c>
      <c r="H792" s="2">
        <f t="shared" si="74"/>
        <v>0</v>
      </c>
      <c r="I792" s="24">
        <f t="shared" si="78"/>
        <v>-25</v>
      </c>
      <c r="J792" s="24">
        <f t="shared" si="79"/>
        <v>1</v>
      </c>
      <c r="K792" s="17">
        <f t="shared" si="75"/>
        <v>-25</v>
      </c>
      <c r="M792" s="15">
        <f t="shared" ca="1" si="76"/>
        <v>0</v>
      </c>
      <c r="N792" s="15">
        <f t="shared" ca="1" si="77"/>
        <v>42400</v>
      </c>
      <c r="Z792" s="1"/>
    </row>
    <row r="793" spans="3:26" x14ac:dyDescent="0.2">
      <c r="C793" s="39"/>
      <c r="D793" s="39"/>
      <c r="E793" s="38">
        <f>[2]!expavg($T$9:$T$26,$R$9:$R$26,K793,H793)</f>
        <v>0.60472044954610527</v>
      </c>
      <c r="F793" s="38" t="str">
        <f>[2]!expavg2($T$9:$T$26,I793,J793,$R$9:$R$26)</f>
        <v>ERROR: Please use BegPeriod &gt;= 1.</v>
      </c>
      <c r="H793" s="2">
        <f t="shared" si="74"/>
        <v>-1</v>
      </c>
      <c r="I793" s="24">
        <f t="shared" si="78"/>
        <v>-25</v>
      </c>
      <c r="J793" s="24">
        <f t="shared" si="79"/>
        <v>0</v>
      </c>
      <c r="K793" s="17">
        <f t="shared" si="75"/>
        <v>-24</v>
      </c>
      <c r="M793" s="15">
        <f t="shared" ca="1" si="76"/>
        <v>0</v>
      </c>
      <c r="N793" s="15">
        <f t="shared" ca="1" si="77"/>
        <v>0</v>
      </c>
      <c r="Z793" s="1"/>
    </row>
    <row r="794" spans="3:26" x14ac:dyDescent="0.2">
      <c r="C794" s="39"/>
      <c r="D794" s="39"/>
      <c r="E794" s="38">
        <f>[2]!expavg($T$9:$T$26,$R$9:$R$26,K794,H794)</f>
        <v>0.60472044954610527</v>
      </c>
      <c r="F794" s="38" t="str">
        <f>[2]!expavg2($T$9:$T$26,I794,J794,$R$9:$R$26)</f>
        <v>ERROR: Please use BegPeriod &gt;= 1.</v>
      </c>
      <c r="H794" s="2">
        <f t="shared" si="74"/>
        <v>-2</v>
      </c>
      <c r="I794" s="24">
        <f t="shared" si="78"/>
        <v>-25</v>
      </c>
      <c r="J794" s="24">
        <f t="shared" si="79"/>
        <v>-1</v>
      </c>
      <c r="K794" s="17">
        <f t="shared" si="75"/>
        <v>-23</v>
      </c>
      <c r="M794" s="15">
        <f t="shared" ca="1" si="76"/>
        <v>0</v>
      </c>
      <c r="N794" s="15">
        <f t="shared" ca="1" si="77"/>
        <v>0</v>
      </c>
      <c r="Z794" s="1"/>
    </row>
    <row r="795" spans="3:26" x14ac:dyDescent="0.2">
      <c r="C795" s="39"/>
      <c r="D795" s="39"/>
      <c r="E795" s="38">
        <f>[2]!expavg($T$9:$T$26,$R$9:$R$26,K795,H795)</f>
        <v>0.70939186407915755</v>
      </c>
      <c r="F795" s="38" t="str">
        <f>[2]!expavg2($T$9:$T$26,I795,J795,$R$9:$R$26)</f>
        <v>ERROR: Please use BegPeriod &gt;= 1.</v>
      </c>
      <c r="H795" s="2">
        <f t="shared" si="74"/>
        <v>14</v>
      </c>
      <c r="I795" s="24">
        <f t="shared" si="78"/>
        <v>-26</v>
      </c>
      <c r="J795" s="24">
        <f t="shared" si="79"/>
        <v>15</v>
      </c>
      <c r="K795" s="17">
        <f t="shared" si="75"/>
        <v>-40</v>
      </c>
      <c r="M795" s="15">
        <f t="shared" ca="1" si="76"/>
        <v>0</v>
      </c>
      <c r="N795" s="15">
        <f t="shared" ca="1" si="77"/>
        <v>37287</v>
      </c>
      <c r="Z795" s="1"/>
    </row>
    <row r="796" spans="3:26" x14ac:dyDescent="0.2">
      <c r="C796" s="39"/>
      <c r="D796" s="39"/>
      <c r="E796" s="38">
        <f>[2]!expavg($T$9:$T$26,$R$9:$R$26,K796,H796)</f>
        <v>0.67177139323204882</v>
      </c>
      <c r="F796" s="38" t="str">
        <f>[2]!expavg2($T$9:$T$26,I796,J796,$R$9:$R$26)</f>
        <v>ERROR: Please use BegPeriod &gt;= 1.</v>
      </c>
      <c r="H796" s="2">
        <f t="shared" si="74"/>
        <v>13</v>
      </c>
      <c r="I796" s="24">
        <f t="shared" si="78"/>
        <v>-26</v>
      </c>
      <c r="J796" s="24">
        <f t="shared" si="79"/>
        <v>14</v>
      </c>
      <c r="K796" s="17">
        <f t="shared" si="75"/>
        <v>-39</v>
      </c>
      <c r="M796" s="15">
        <f t="shared" ca="1" si="76"/>
        <v>0</v>
      </c>
      <c r="N796" s="15">
        <f t="shared" ca="1" si="77"/>
        <v>37652</v>
      </c>
      <c r="Z796" s="1"/>
    </row>
    <row r="797" spans="3:26" x14ac:dyDescent="0.2">
      <c r="C797" s="39"/>
      <c r="D797" s="39"/>
      <c r="E797" s="38">
        <f>[2]!expavg($T$9:$T$26,$R$9:$R$26,K797,H797)</f>
        <v>0.66945167850810816</v>
      </c>
      <c r="F797" s="38" t="str">
        <f>[2]!expavg2($T$9:$T$26,I797,J797,$R$9:$R$26)</f>
        <v>ERROR: Please use BegPeriod &gt;= 1.</v>
      </c>
      <c r="H797" s="2">
        <f t="shared" si="74"/>
        <v>12</v>
      </c>
      <c r="I797" s="24">
        <f t="shared" si="78"/>
        <v>-26</v>
      </c>
      <c r="J797" s="24">
        <f t="shared" si="79"/>
        <v>13</v>
      </c>
      <c r="K797" s="17">
        <f t="shared" si="75"/>
        <v>-38</v>
      </c>
      <c r="M797" s="15">
        <f t="shared" ca="1" si="76"/>
        <v>0</v>
      </c>
      <c r="N797" s="15">
        <f t="shared" ca="1" si="77"/>
        <v>38017</v>
      </c>
      <c r="Z797" s="1"/>
    </row>
    <row r="798" spans="3:26" x14ac:dyDescent="0.2">
      <c r="C798" s="39"/>
      <c r="D798" s="39"/>
      <c r="E798" s="38">
        <f>[2]!expavg($T$9:$T$26,$R$9:$R$26,K798,H798)</f>
        <v>0.67904388723605558</v>
      </c>
      <c r="F798" s="38" t="str">
        <f>[2]!expavg2($T$9:$T$26,I798,J798,$R$9:$R$26)</f>
        <v>ERROR: Please use BegPeriod &gt;= 1.</v>
      </c>
      <c r="H798" s="2">
        <f t="shared" si="74"/>
        <v>11</v>
      </c>
      <c r="I798" s="24">
        <f t="shared" si="78"/>
        <v>-26</v>
      </c>
      <c r="J798" s="24">
        <f t="shared" si="79"/>
        <v>12</v>
      </c>
      <c r="K798" s="17">
        <f t="shared" si="75"/>
        <v>-37</v>
      </c>
      <c r="M798" s="15">
        <f t="shared" ca="1" si="76"/>
        <v>0</v>
      </c>
      <c r="N798" s="15">
        <f t="shared" ca="1" si="77"/>
        <v>38383</v>
      </c>
      <c r="Z798" s="1"/>
    </row>
    <row r="799" spans="3:26" x14ac:dyDescent="0.2">
      <c r="C799" s="39"/>
      <c r="D799" s="39"/>
      <c r="E799" s="38">
        <f>[2]!expavg($T$9:$T$26,$R$9:$R$26,K799,H799)</f>
        <v>0.68957279758642287</v>
      </c>
      <c r="F799" s="38" t="str">
        <f>[2]!expavg2($T$9:$T$26,I799,J799,$R$9:$R$26)</f>
        <v>ERROR: Please use BegPeriod &gt;= 1.</v>
      </c>
      <c r="H799" s="2">
        <f t="shared" si="74"/>
        <v>10</v>
      </c>
      <c r="I799" s="24">
        <f t="shared" si="78"/>
        <v>-26</v>
      </c>
      <c r="J799" s="24">
        <f t="shared" si="79"/>
        <v>11</v>
      </c>
      <c r="K799" s="17">
        <f t="shared" si="75"/>
        <v>-36</v>
      </c>
      <c r="M799" s="15">
        <f t="shared" ca="1" si="76"/>
        <v>0</v>
      </c>
      <c r="N799" s="15">
        <f t="shared" ca="1" si="77"/>
        <v>38748</v>
      </c>
      <c r="Z799" s="1"/>
    </row>
    <row r="800" spans="3:26" x14ac:dyDescent="0.2">
      <c r="C800" s="39"/>
      <c r="D800" s="39"/>
      <c r="E800" s="38">
        <f>[2]!expavg($T$9:$T$26,$R$9:$R$26,K800,H800)</f>
        <v>0.67160897630855276</v>
      </c>
      <c r="F800" s="38" t="str">
        <f>[2]!expavg2($T$9:$T$26,I800,J800,$R$9:$R$26)</f>
        <v>ERROR: Please use BegPeriod &gt;= 1.</v>
      </c>
      <c r="H800" s="2">
        <f t="shared" si="74"/>
        <v>9</v>
      </c>
      <c r="I800" s="24">
        <f t="shared" si="78"/>
        <v>-26</v>
      </c>
      <c r="J800" s="24">
        <f t="shared" si="79"/>
        <v>10</v>
      </c>
      <c r="K800" s="17">
        <f t="shared" si="75"/>
        <v>-35</v>
      </c>
      <c r="M800" s="15">
        <f t="shared" ca="1" si="76"/>
        <v>0</v>
      </c>
      <c r="N800" s="15">
        <f t="shared" ca="1" si="77"/>
        <v>39113</v>
      </c>
      <c r="Z800" s="1"/>
    </row>
    <row r="801" spans="3:26" x14ac:dyDescent="0.2">
      <c r="C801" s="39"/>
      <c r="D801" s="39"/>
      <c r="E801" s="38">
        <f>[2]!expavg($T$9:$T$26,$R$9:$R$26,K801,H801)</f>
        <v>0.66527157980250695</v>
      </c>
      <c r="F801" s="38" t="str">
        <f>[2]!expavg2($T$9:$T$26,I801,J801,$R$9:$R$26)</f>
        <v>ERROR: Please use BegPeriod &gt;= 1.</v>
      </c>
      <c r="H801" s="2">
        <f t="shared" si="74"/>
        <v>8</v>
      </c>
      <c r="I801" s="24">
        <f t="shared" si="78"/>
        <v>-26</v>
      </c>
      <c r="J801" s="24">
        <f t="shared" si="79"/>
        <v>9</v>
      </c>
      <c r="K801" s="17">
        <f t="shared" si="75"/>
        <v>-34</v>
      </c>
      <c r="M801" s="15">
        <f t="shared" ca="1" si="76"/>
        <v>0</v>
      </c>
      <c r="N801" s="15">
        <f t="shared" ca="1" si="77"/>
        <v>39478</v>
      </c>
      <c r="Z801" s="1"/>
    </row>
    <row r="802" spans="3:26" x14ac:dyDescent="0.2">
      <c r="C802" s="39"/>
      <c r="D802" s="39"/>
      <c r="E802" s="38">
        <f>[2]!expavg($T$9:$T$26,$R$9:$R$26,K802,H802)</f>
        <v>0.68450987024306864</v>
      </c>
      <c r="F802" s="38" t="str">
        <f>[2]!expavg2($T$9:$T$26,I802,J802,$R$9:$R$26)</f>
        <v>ERROR: Please use BegPeriod &gt;= 1.</v>
      </c>
      <c r="H802" s="2">
        <f t="shared" si="74"/>
        <v>7</v>
      </c>
      <c r="I802" s="24">
        <f t="shared" si="78"/>
        <v>-26</v>
      </c>
      <c r="J802" s="24">
        <f t="shared" si="79"/>
        <v>8</v>
      </c>
      <c r="K802" s="17">
        <f t="shared" si="75"/>
        <v>-33</v>
      </c>
      <c r="M802" s="15">
        <f t="shared" ca="1" si="76"/>
        <v>0</v>
      </c>
      <c r="N802" s="15">
        <f t="shared" ca="1" si="77"/>
        <v>39844</v>
      </c>
      <c r="Z802" s="1"/>
    </row>
    <row r="803" spans="3:26" x14ac:dyDescent="0.2">
      <c r="C803" s="39"/>
      <c r="D803" s="39"/>
      <c r="E803" s="38">
        <f>[2]!expavg($T$9:$T$26,$R$9:$R$26,K803,H803)</f>
        <v>0.67627397338659268</v>
      </c>
      <c r="F803" s="38" t="str">
        <f>[2]!expavg2($T$9:$T$26,I803,J803,$R$9:$R$26)</f>
        <v>ERROR: Please use BegPeriod &gt;= 1.</v>
      </c>
      <c r="H803" s="2">
        <f t="shared" si="74"/>
        <v>6</v>
      </c>
      <c r="I803" s="24">
        <f t="shared" si="78"/>
        <v>-26</v>
      </c>
      <c r="J803" s="24">
        <f t="shared" si="79"/>
        <v>7</v>
      </c>
      <c r="K803" s="17">
        <f t="shared" si="75"/>
        <v>-32</v>
      </c>
      <c r="M803" s="15">
        <f t="shared" ca="1" si="76"/>
        <v>0</v>
      </c>
      <c r="N803" s="15">
        <f t="shared" ca="1" si="77"/>
        <v>40209</v>
      </c>
      <c r="Z803" s="1"/>
    </row>
    <row r="804" spans="3:26" x14ac:dyDescent="0.2">
      <c r="C804" s="39"/>
      <c r="D804" s="39"/>
      <c r="E804" s="38">
        <f>[2]!expavg($T$9:$T$26,$R$9:$R$26,K804,H804)</f>
        <v>0.66006899259190965</v>
      </c>
      <c r="F804" s="38" t="str">
        <f>[2]!expavg2($T$9:$T$26,I804,J804,$R$9:$R$26)</f>
        <v>ERROR: Please use BegPeriod &gt;= 1.</v>
      </c>
      <c r="H804" s="2">
        <f t="shared" si="74"/>
        <v>5</v>
      </c>
      <c r="I804" s="24">
        <f t="shared" si="78"/>
        <v>-26</v>
      </c>
      <c r="J804" s="24">
        <f t="shared" si="79"/>
        <v>6</v>
      </c>
      <c r="K804" s="17">
        <f t="shared" si="75"/>
        <v>-31</v>
      </c>
      <c r="M804" s="15">
        <f t="shared" ca="1" si="76"/>
        <v>0</v>
      </c>
      <c r="N804" s="15">
        <f t="shared" ca="1" si="77"/>
        <v>40574</v>
      </c>
      <c r="Z804" s="1"/>
    </row>
    <row r="805" spans="3:26" x14ac:dyDescent="0.2">
      <c r="C805" s="39"/>
      <c r="D805" s="39"/>
      <c r="E805" s="38">
        <f>[2]!expavg($T$9:$T$26,$R$9:$R$26,K805,H805)</f>
        <v>0.64048216018789683</v>
      </c>
      <c r="F805" s="38" t="str">
        <f>[2]!expavg2($T$9:$T$26,I805,J805,$R$9:$R$26)</f>
        <v>ERROR: Please use BegPeriod &gt;= 1.</v>
      </c>
      <c r="H805" s="2">
        <f t="shared" si="74"/>
        <v>4</v>
      </c>
      <c r="I805" s="24">
        <f t="shared" si="78"/>
        <v>-26</v>
      </c>
      <c r="J805" s="24">
        <f t="shared" si="79"/>
        <v>5</v>
      </c>
      <c r="K805" s="17">
        <f t="shared" si="75"/>
        <v>-30</v>
      </c>
      <c r="M805" s="15">
        <f t="shared" ca="1" si="76"/>
        <v>0</v>
      </c>
      <c r="N805" s="15">
        <f t="shared" ca="1" si="77"/>
        <v>40939</v>
      </c>
      <c r="Z805" s="1"/>
    </row>
    <row r="806" spans="3:26" x14ac:dyDescent="0.2">
      <c r="C806" s="39"/>
      <c r="D806" s="39"/>
      <c r="E806" s="38">
        <f>[2]!expavg($T$9:$T$26,$R$9:$R$26,K806,H806)</f>
        <v>0.62815488340610859</v>
      </c>
      <c r="F806" s="38" t="str">
        <f>[2]!expavg2($T$9:$T$26,I806,J806,$R$9:$R$26)</f>
        <v>ERROR: Please use BegPeriod &gt;= 1.</v>
      </c>
      <c r="H806" s="2">
        <f t="shared" si="74"/>
        <v>3</v>
      </c>
      <c r="I806" s="24">
        <f t="shared" si="78"/>
        <v>-26</v>
      </c>
      <c r="J806" s="24">
        <f t="shared" si="79"/>
        <v>4</v>
      </c>
      <c r="K806" s="17">
        <f t="shared" si="75"/>
        <v>-29</v>
      </c>
      <c r="M806" s="15">
        <f t="shared" ca="1" si="76"/>
        <v>0</v>
      </c>
      <c r="N806" s="15">
        <f t="shared" ca="1" si="77"/>
        <v>41305</v>
      </c>
      <c r="Z806" s="1"/>
    </row>
    <row r="807" spans="3:26" x14ac:dyDescent="0.2">
      <c r="C807" s="39"/>
      <c r="D807" s="39"/>
      <c r="E807" s="38">
        <f>[2]!expavg($T$9:$T$26,$R$9:$R$26,K807,H807)</f>
        <v>0.62040838094689943</v>
      </c>
      <c r="F807" s="38" t="str">
        <f>[2]!expavg2($T$9:$T$26,I807,J807,$R$9:$R$26)</f>
        <v>ERROR: Please use BegPeriod &gt;= 1.</v>
      </c>
      <c r="H807" s="2">
        <f t="shared" si="74"/>
        <v>2</v>
      </c>
      <c r="I807" s="24">
        <f t="shared" si="78"/>
        <v>-26</v>
      </c>
      <c r="J807" s="24">
        <f t="shared" si="79"/>
        <v>3</v>
      </c>
      <c r="K807" s="17">
        <f t="shared" si="75"/>
        <v>-28</v>
      </c>
      <c r="M807" s="15">
        <f t="shared" ca="1" si="76"/>
        <v>0</v>
      </c>
      <c r="N807" s="15">
        <f t="shared" ca="1" si="77"/>
        <v>41670</v>
      </c>
      <c r="Z807" s="1"/>
    </row>
    <row r="808" spans="3:26" x14ac:dyDescent="0.2">
      <c r="C808" s="39"/>
      <c r="D808" s="39"/>
      <c r="E808" s="38">
        <f>[2]!expavg($T$9:$T$26,$R$9:$R$26,K808,H808)</f>
        <v>0.60752408974439076</v>
      </c>
      <c r="F808" s="38" t="str">
        <f>[2]!expavg2($T$9:$T$26,I808,J808,$R$9:$R$26)</f>
        <v>ERROR: Please use BegPeriod &gt;= 1.</v>
      </c>
      <c r="H808" s="2">
        <f t="shared" si="74"/>
        <v>1</v>
      </c>
      <c r="I808" s="24">
        <f t="shared" si="78"/>
        <v>-26</v>
      </c>
      <c r="J808" s="24">
        <f t="shared" si="79"/>
        <v>2</v>
      </c>
      <c r="K808" s="17">
        <f t="shared" si="75"/>
        <v>-27</v>
      </c>
      <c r="M808" s="15">
        <f t="shared" ca="1" si="76"/>
        <v>0</v>
      </c>
      <c r="N808" s="15">
        <f t="shared" ca="1" si="77"/>
        <v>42035</v>
      </c>
      <c r="Z808" s="1"/>
    </row>
    <row r="809" spans="3:26" x14ac:dyDescent="0.2">
      <c r="C809" s="39"/>
      <c r="D809" s="39"/>
      <c r="E809" s="38">
        <f>[2]!expavg($T$9:$T$26,$R$9:$R$26,K809,H809)</f>
        <v>0.60472044954610527</v>
      </c>
      <c r="F809" s="38" t="str">
        <f>[2]!expavg2($T$9:$T$26,I809,J809,$R$9:$R$26)</f>
        <v>ERROR: Please use BegPeriod &gt;= 1.</v>
      </c>
      <c r="H809" s="2">
        <f t="shared" si="74"/>
        <v>0</v>
      </c>
      <c r="I809" s="24">
        <f t="shared" si="78"/>
        <v>-26</v>
      </c>
      <c r="J809" s="24">
        <f t="shared" si="79"/>
        <v>1</v>
      </c>
      <c r="K809" s="17">
        <f t="shared" si="75"/>
        <v>-26</v>
      </c>
      <c r="M809" s="15">
        <f t="shared" ca="1" si="76"/>
        <v>0</v>
      </c>
      <c r="N809" s="15">
        <f t="shared" ca="1" si="77"/>
        <v>42400</v>
      </c>
      <c r="Z809" s="1"/>
    </row>
    <row r="810" spans="3:26" x14ac:dyDescent="0.2">
      <c r="C810" s="39"/>
      <c r="D810" s="39"/>
      <c r="E810" s="38">
        <f>[2]!expavg($T$9:$T$26,$R$9:$R$26,K810,H810)</f>
        <v>0.60472044954610527</v>
      </c>
      <c r="F810" s="38" t="str">
        <f>[2]!expavg2($T$9:$T$26,I810,J810,$R$9:$R$26)</f>
        <v>ERROR: Please use BegPeriod &gt;= 1.</v>
      </c>
      <c r="H810" s="2">
        <f t="shared" si="74"/>
        <v>-1</v>
      </c>
      <c r="I810" s="24">
        <f t="shared" si="78"/>
        <v>-26</v>
      </c>
      <c r="J810" s="24">
        <f t="shared" si="79"/>
        <v>0</v>
      </c>
      <c r="K810" s="17">
        <f t="shared" si="75"/>
        <v>-25</v>
      </c>
      <c r="M810" s="15">
        <f t="shared" ca="1" si="76"/>
        <v>0</v>
      </c>
      <c r="N810" s="15">
        <f t="shared" ca="1" si="77"/>
        <v>0</v>
      </c>
      <c r="Z810" s="1"/>
    </row>
    <row r="811" spans="3:26" x14ac:dyDescent="0.2">
      <c r="C811" s="39"/>
      <c r="D811" s="39"/>
      <c r="E811" s="38">
        <f>[2]!expavg($T$9:$T$26,$R$9:$R$26,K811,H811)</f>
        <v>0.60472044954610527</v>
      </c>
      <c r="F811" s="38" t="str">
        <f>[2]!expavg2($T$9:$T$26,I811,J811,$R$9:$R$26)</f>
        <v>ERROR: Please use BegPeriod &gt;= 1.</v>
      </c>
      <c r="H811" s="2">
        <f t="shared" si="74"/>
        <v>-2</v>
      </c>
      <c r="I811" s="24">
        <f t="shared" si="78"/>
        <v>-26</v>
      </c>
      <c r="J811" s="24">
        <f t="shared" si="79"/>
        <v>-1</v>
      </c>
      <c r="K811" s="17">
        <f t="shared" si="75"/>
        <v>-24</v>
      </c>
      <c r="M811" s="15">
        <f t="shared" ca="1" si="76"/>
        <v>0</v>
      </c>
      <c r="N811" s="15">
        <f t="shared" ca="1" si="77"/>
        <v>0</v>
      </c>
      <c r="Z811" s="1"/>
    </row>
    <row r="812" spans="3:26" x14ac:dyDescent="0.2">
      <c r="C812" s="39"/>
      <c r="D812" s="39"/>
      <c r="E812" s="38">
        <f>[2]!expavg($T$9:$T$26,$R$9:$R$26,K812,H812)</f>
        <v>0.70939186407915755</v>
      </c>
      <c r="F812" s="38" t="str">
        <f>[2]!expavg2($T$9:$T$26,I812,J812,$R$9:$R$26)</f>
        <v>ERROR: Please use BegPeriod &gt;= 1.</v>
      </c>
      <c r="H812" s="2">
        <f t="shared" si="74"/>
        <v>14</v>
      </c>
      <c r="I812" s="24">
        <f t="shared" si="78"/>
        <v>-27</v>
      </c>
      <c r="J812" s="24">
        <f t="shared" si="79"/>
        <v>15</v>
      </c>
      <c r="K812" s="17">
        <f t="shared" si="75"/>
        <v>-41</v>
      </c>
      <c r="M812" s="15">
        <f t="shared" ca="1" si="76"/>
        <v>0</v>
      </c>
      <c r="N812" s="15">
        <f t="shared" ca="1" si="77"/>
        <v>37287</v>
      </c>
      <c r="Z812" s="1"/>
    </row>
    <row r="813" spans="3:26" x14ac:dyDescent="0.2">
      <c r="C813" s="39"/>
      <c r="D813" s="39"/>
      <c r="E813" s="38">
        <f>[2]!expavg($T$9:$T$26,$R$9:$R$26,K813,H813)</f>
        <v>0.67177139323204882</v>
      </c>
      <c r="F813" s="38" t="str">
        <f>[2]!expavg2($T$9:$T$26,I813,J813,$R$9:$R$26)</f>
        <v>ERROR: Please use BegPeriod &gt;= 1.</v>
      </c>
      <c r="H813" s="2">
        <f t="shared" si="74"/>
        <v>13</v>
      </c>
      <c r="I813" s="24">
        <f t="shared" si="78"/>
        <v>-27</v>
      </c>
      <c r="J813" s="24">
        <f t="shared" si="79"/>
        <v>14</v>
      </c>
      <c r="K813" s="17">
        <f t="shared" si="75"/>
        <v>-40</v>
      </c>
      <c r="M813" s="15">
        <f t="shared" ca="1" si="76"/>
        <v>0</v>
      </c>
      <c r="N813" s="15">
        <f t="shared" ca="1" si="77"/>
        <v>37652</v>
      </c>
      <c r="Z813" s="1"/>
    </row>
    <row r="814" spans="3:26" x14ac:dyDescent="0.2">
      <c r="C814" s="39"/>
      <c r="D814" s="39"/>
      <c r="E814" s="38">
        <f>[2]!expavg($T$9:$T$26,$R$9:$R$26,K814,H814)</f>
        <v>0.66945167850810816</v>
      </c>
      <c r="F814" s="38" t="str">
        <f>[2]!expavg2($T$9:$T$26,I814,J814,$R$9:$R$26)</f>
        <v>ERROR: Please use BegPeriod &gt;= 1.</v>
      </c>
      <c r="H814" s="2">
        <f t="shared" si="74"/>
        <v>12</v>
      </c>
      <c r="I814" s="24">
        <f t="shared" si="78"/>
        <v>-27</v>
      </c>
      <c r="J814" s="24">
        <f t="shared" si="79"/>
        <v>13</v>
      </c>
      <c r="K814" s="17">
        <f t="shared" si="75"/>
        <v>-39</v>
      </c>
      <c r="M814" s="15">
        <f t="shared" ca="1" si="76"/>
        <v>0</v>
      </c>
      <c r="N814" s="15">
        <f t="shared" ca="1" si="77"/>
        <v>38017</v>
      </c>
      <c r="Z814" s="1"/>
    </row>
    <row r="815" spans="3:26" x14ac:dyDescent="0.2">
      <c r="C815" s="39"/>
      <c r="D815" s="39"/>
      <c r="E815" s="38">
        <f>[2]!expavg($T$9:$T$26,$R$9:$R$26,K815,H815)</f>
        <v>0.67904388723605558</v>
      </c>
      <c r="F815" s="38" t="str">
        <f>[2]!expavg2($T$9:$T$26,I815,J815,$R$9:$R$26)</f>
        <v>ERROR: Please use BegPeriod &gt;= 1.</v>
      </c>
      <c r="H815" s="2">
        <f t="shared" si="74"/>
        <v>11</v>
      </c>
      <c r="I815" s="24">
        <f t="shared" si="78"/>
        <v>-27</v>
      </c>
      <c r="J815" s="24">
        <f t="shared" si="79"/>
        <v>12</v>
      </c>
      <c r="K815" s="17">
        <f t="shared" si="75"/>
        <v>-38</v>
      </c>
      <c r="M815" s="15">
        <f t="shared" ca="1" si="76"/>
        <v>0</v>
      </c>
      <c r="N815" s="15">
        <f t="shared" ca="1" si="77"/>
        <v>38383</v>
      </c>
      <c r="Z815" s="1"/>
    </row>
    <row r="816" spans="3:26" x14ac:dyDescent="0.2">
      <c r="C816" s="39"/>
      <c r="D816" s="39"/>
      <c r="E816" s="38">
        <f>[2]!expavg($T$9:$T$26,$R$9:$R$26,K816,H816)</f>
        <v>0.68957279758642287</v>
      </c>
      <c r="F816" s="38" t="str">
        <f>[2]!expavg2($T$9:$T$26,I816,J816,$R$9:$R$26)</f>
        <v>ERROR: Please use BegPeriod &gt;= 1.</v>
      </c>
      <c r="H816" s="2">
        <f t="shared" ref="H816:H879" si="80">J816-1</f>
        <v>10</v>
      </c>
      <c r="I816" s="24">
        <f t="shared" si="78"/>
        <v>-27</v>
      </c>
      <c r="J816" s="24">
        <f t="shared" si="79"/>
        <v>11</v>
      </c>
      <c r="K816" s="17">
        <f t="shared" ref="K816:K879" si="81">I816-J816+1</f>
        <v>-37</v>
      </c>
      <c r="M816" s="15">
        <f t="shared" ref="M816:M879" ca="1" si="82">OFFSET($P$27,-I816,0)</f>
        <v>0</v>
      </c>
      <c r="N816" s="15">
        <f t="shared" ref="N816:N879" ca="1" si="83">OFFSET($P$27,-J816,0)</f>
        <v>38748</v>
      </c>
      <c r="Z816" s="1"/>
    </row>
    <row r="817" spans="3:26" x14ac:dyDescent="0.2">
      <c r="C817" s="39"/>
      <c r="D817" s="39"/>
      <c r="E817" s="38">
        <f>[2]!expavg($T$9:$T$26,$R$9:$R$26,K817,H817)</f>
        <v>0.67160897630855276</v>
      </c>
      <c r="F817" s="38" t="str">
        <f>[2]!expavg2($T$9:$T$26,I817,J817,$R$9:$R$26)</f>
        <v>ERROR: Please use BegPeriod &gt;= 1.</v>
      </c>
      <c r="H817" s="2">
        <f t="shared" si="80"/>
        <v>9</v>
      </c>
      <c r="I817" s="24">
        <f t="shared" si="78"/>
        <v>-27</v>
      </c>
      <c r="J817" s="24">
        <f t="shared" si="79"/>
        <v>10</v>
      </c>
      <c r="K817" s="17">
        <f t="shared" si="81"/>
        <v>-36</v>
      </c>
      <c r="M817" s="15">
        <f t="shared" ca="1" si="82"/>
        <v>0</v>
      </c>
      <c r="N817" s="15">
        <f t="shared" ca="1" si="83"/>
        <v>39113</v>
      </c>
      <c r="Z817" s="1"/>
    </row>
    <row r="818" spans="3:26" x14ac:dyDescent="0.2">
      <c r="C818" s="39"/>
      <c r="D818" s="39"/>
      <c r="E818" s="38">
        <f>[2]!expavg($T$9:$T$26,$R$9:$R$26,K818,H818)</f>
        <v>0.66527157980250695</v>
      </c>
      <c r="F818" s="38" t="str">
        <f>[2]!expavg2($T$9:$T$26,I818,J818,$R$9:$R$26)</f>
        <v>ERROR: Please use BegPeriod &gt;= 1.</v>
      </c>
      <c r="H818" s="2">
        <f t="shared" si="80"/>
        <v>8</v>
      </c>
      <c r="I818" s="24">
        <f t="shared" si="78"/>
        <v>-27</v>
      </c>
      <c r="J818" s="24">
        <f t="shared" si="79"/>
        <v>9</v>
      </c>
      <c r="K818" s="17">
        <f t="shared" si="81"/>
        <v>-35</v>
      </c>
      <c r="M818" s="15">
        <f t="shared" ca="1" si="82"/>
        <v>0</v>
      </c>
      <c r="N818" s="15">
        <f t="shared" ca="1" si="83"/>
        <v>39478</v>
      </c>
      <c r="Z818" s="1"/>
    </row>
    <row r="819" spans="3:26" x14ac:dyDescent="0.2">
      <c r="C819" s="39"/>
      <c r="D819" s="39"/>
      <c r="E819" s="38">
        <f>[2]!expavg($T$9:$T$26,$R$9:$R$26,K819,H819)</f>
        <v>0.68450987024306864</v>
      </c>
      <c r="F819" s="38" t="str">
        <f>[2]!expavg2($T$9:$T$26,I819,J819,$R$9:$R$26)</f>
        <v>ERROR: Please use BegPeriod &gt;= 1.</v>
      </c>
      <c r="H819" s="2">
        <f t="shared" si="80"/>
        <v>7</v>
      </c>
      <c r="I819" s="24">
        <f t="shared" si="78"/>
        <v>-27</v>
      </c>
      <c r="J819" s="24">
        <f t="shared" si="79"/>
        <v>8</v>
      </c>
      <c r="K819" s="17">
        <f t="shared" si="81"/>
        <v>-34</v>
      </c>
      <c r="M819" s="15">
        <f t="shared" ca="1" si="82"/>
        <v>0</v>
      </c>
      <c r="N819" s="15">
        <f t="shared" ca="1" si="83"/>
        <v>39844</v>
      </c>
      <c r="Z819" s="1"/>
    </row>
    <row r="820" spans="3:26" x14ac:dyDescent="0.2">
      <c r="C820" s="39"/>
      <c r="D820" s="39"/>
      <c r="E820" s="38">
        <f>[2]!expavg($T$9:$T$26,$R$9:$R$26,K820,H820)</f>
        <v>0.67627397338659268</v>
      </c>
      <c r="F820" s="38" t="str">
        <f>[2]!expavg2($T$9:$T$26,I820,J820,$R$9:$R$26)</f>
        <v>ERROR: Please use BegPeriod &gt;= 1.</v>
      </c>
      <c r="H820" s="2">
        <f t="shared" si="80"/>
        <v>6</v>
      </c>
      <c r="I820" s="24">
        <f t="shared" ref="I820:I883" si="84">I803-1</f>
        <v>-27</v>
      </c>
      <c r="J820" s="24">
        <f t="shared" ref="J820:J883" si="85">J803</f>
        <v>7</v>
      </c>
      <c r="K820" s="17">
        <f t="shared" si="81"/>
        <v>-33</v>
      </c>
      <c r="M820" s="15">
        <f t="shared" ca="1" si="82"/>
        <v>0</v>
      </c>
      <c r="N820" s="15">
        <f t="shared" ca="1" si="83"/>
        <v>40209</v>
      </c>
      <c r="Z820" s="1"/>
    </row>
    <row r="821" spans="3:26" x14ac:dyDescent="0.2">
      <c r="C821" s="39"/>
      <c r="D821" s="39"/>
      <c r="E821" s="38">
        <f>[2]!expavg($T$9:$T$26,$R$9:$R$26,K821,H821)</f>
        <v>0.66006899259190965</v>
      </c>
      <c r="F821" s="38" t="str">
        <f>[2]!expavg2($T$9:$T$26,I821,J821,$R$9:$R$26)</f>
        <v>ERROR: Please use BegPeriod &gt;= 1.</v>
      </c>
      <c r="H821" s="2">
        <f t="shared" si="80"/>
        <v>5</v>
      </c>
      <c r="I821" s="24">
        <f t="shared" si="84"/>
        <v>-27</v>
      </c>
      <c r="J821" s="24">
        <f t="shared" si="85"/>
        <v>6</v>
      </c>
      <c r="K821" s="17">
        <f t="shared" si="81"/>
        <v>-32</v>
      </c>
      <c r="M821" s="15">
        <f t="shared" ca="1" si="82"/>
        <v>0</v>
      </c>
      <c r="N821" s="15">
        <f t="shared" ca="1" si="83"/>
        <v>40574</v>
      </c>
      <c r="Z821" s="1"/>
    </row>
    <row r="822" spans="3:26" x14ac:dyDescent="0.2">
      <c r="C822" s="39"/>
      <c r="D822" s="39"/>
      <c r="E822" s="38">
        <f>[2]!expavg($T$9:$T$26,$R$9:$R$26,K822,H822)</f>
        <v>0.64048216018789683</v>
      </c>
      <c r="F822" s="38" t="str">
        <f>[2]!expavg2($T$9:$T$26,I822,J822,$R$9:$R$26)</f>
        <v>ERROR: Please use BegPeriod &gt;= 1.</v>
      </c>
      <c r="H822" s="2">
        <f t="shared" si="80"/>
        <v>4</v>
      </c>
      <c r="I822" s="24">
        <f t="shared" si="84"/>
        <v>-27</v>
      </c>
      <c r="J822" s="24">
        <f t="shared" si="85"/>
        <v>5</v>
      </c>
      <c r="K822" s="17">
        <f t="shared" si="81"/>
        <v>-31</v>
      </c>
      <c r="M822" s="15">
        <f t="shared" ca="1" si="82"/>
        <v>0</v>
      </c>
      <c r="N822" s="15">
        <f t="shared" ca="1" si="83"/>
        <v>40939</v>
      </c>
      <c r="Z822" s="1"/>
    </row>
    <row r="823" spans="3:26" x14ac:dyDescent="0.2">
      <c r="C823" s="39"/>
      <c r="D823" s="39"/>
      <c r="E823" s="38">
        <f>[2]!expavg($T$9:$T$26,$R$9:$R$26,K823,H823)</f>
        <v>0.62815488340610859</v>
      </c>
      <c r="F823" s="38" t="str">
        <f>[2]!expavg2($T$9:$T$26,I823,J823,$R$9:$R$26)</f>
        <v>ERROR: Please use BegPeriod &gt;= 1.</v>
      </c>
      <c r="H823" s="2">
        <f t="shared" si="80"/>
        <v>3</v>
      </c>
      <c r="I823" s="24">
        <f t="shared" si="84"/>
        <v>-27</v>
      </c>
      <c r="J823" s="24">
        <f t="shared" si="85"/>
        <v>4</v>
      </c>
      <c r="K823" s="17">
        <f t="shared" si="81"/>
        <v>-30</v>
      </c>
      <c r="M823" s="15">
        <f t="shared" ca="1" si="82"/>
        <v>0</v>
      </c>
      <c r="N823" s="15">
        <f t="shared" ca="1" si="83"/>
        <v>41305</v>
      </c>
      <c r="Z823" s="1"/>
    </row>
    <row r="824" spans="3:26" x14ac:dyDescent="0.2">
      <c r="C824" s="39"/>
      <c r="D824" s="39"/>
      <c r="E824" s="38">
        <f>[2]!expavg($T$9:$T$26,$R$9:$R$26,K824,H824)</f>
        <v>0.62040838094689943</v>
      </c>
      <c r="F824" s="38" t="str">
        <f>[2]!expavg2($T$9:$T$26,I824,J824,$R$9:$R$26)</f>
        <v>ERROR: Please use BegPeriod &gt;= 1.</v>
      </c>
      <c r="H824" s="2">
        <f t="shared" si="80"/>
        <v>2</v>
      </c>
      <c r="I824" s="24">
        <f t="shared" si="84"/>
        <v>-27</v>
      </c>
      <c r="J824" s="24">
        <f t="shared" si="85"/>
        <v>3</v>
      </c>
      <c r="K824" s="17">
        <f t="shared" si="81"/>
        <v>-29</v>
      </c>
      <c r="M824" s="15">
        <f t="shared" ca="1" si="82"/>
        <v>0</v>
      </c>
      <c r="N824" s="15">
        <f t="shared" ca="1" si="83"/>
        <v>41670</v>
      </c>
      <c r="Z824" s="1"/>
    </row>
    <row r="825" spans="3:26" x14ac:dyDescent="0.2">
      <c r="C825" s="39"/>
      <c r="D825" s="39"/>
      <c r="E825" s="38">
        <f>[2]!expavg($T$9:$T$26,$R$9:$R$26,K825,H825)</f>
        <v>0.60752408974439076</v>
      </c>
      <c r="F825" s="38" t="str">
        <f>[2]!expavg2($T$9:$T$26,I825,J825,$R$9:$R$26)</f>
        <v>ERROR: Please use BegPeriod &gt;= 1.</v>
      </c>
      <c r="H825" s="2">
        <f t="shared" si="80"/>
        <v>1</v>
      </c>
      <c r="I825" s="24">
        <f t="shared" si="84"/>
        <v>-27</v>
      </c>
      <c r="J825" s="24">
        <f t="shared" si="85"/>
        <v>2</v>
      </c>
      <c r="K825" s="17">
        <f t="shared" si="81"/>
        <v>-28</v>
      </c>
      <c r="M825" s="15">
        <f t="shared" ca="1" si="82"/>
        <v>0</v>
      </c>
      <c r="N825" s="15">
        <f t="shared" ca="1" si="83"/>
        <v>42035</v>
      </c>
      <c r="Z825" s="1"/>
    </row>
    <row r="826" spans="3:26" x14ac:dyDescent="0.2">
      <c r="C826" s="39"/>
      <c r="D826" s="39"/>
      <c r="E826" s="38">
        <f>[2]!expavg($T$9:$T$26,$R$9:$R$26,K826,H826)</f>
        <v>0.60472044954610527</v>
      </c>
      <c r="F826" s="38" t="str">
        <f>[2]!expavg2($T$9:$T$26,I826,J826,$R$9:$R$26)</f>
        <v>ERROR: Please use BegPeriod &gt;= 1.</v>
      </c>
      <c r="H826" s="2">
        <f t="shared" si="80"/>
        <v>0</v>
      </c>
      <c r="I826" s="24">
        <f t="shared" si="84"/>
        <v>-27</v>
      </c>
      <c r="J826" s="24">
        <f t="shared" si="85"/>
        <v>1</v>
      </c>
      <c r="K826" s="17">
        <f t="shared" si="81"/>
        <v>-27</v>
      </c>
      <c r="M826" s="15">
        <f t="shared" ca="1" si="82"/>
        <v>0</v>
      </c>
      <c r="N826" s="15">
        <f t="shared" ca="1" si="83"/>
        <v>42400</v>
      </c>
      <c r="Z826" s="1"/>
    </row>
    <row r="827" spans="3:26" x14ac:dyDescent="0.2">
      <c r="C827" s="39"/>
      <c r="D827" s="39"/>
      <c r="E827" s="38">
        <f>[2]!expavg($T$9:$T$26,$R$9:$R$26,K827,H827)</f>
        <v>0.60472044954610527</v>
      </c>
      <c r="F827" s="38" t="str">
        <f>[2]!expavg2($T$9:$T$26,I827,J827,$R$9:$R$26)</f>
        <v>ERROR: Please use BegPeriod &gt;= 1.</v>
      </c>
      <c r="H827" s="2">
        <f t="shared" si="80"/>
        <v>-1</v>
      </c>
      <c r="I827" s="24">
        <f t="shared" si="84"/>
        <v>-27</v>
      </c>
      <c r="J827" s="24">
        <f t="shared" si="85"/>
        <v>0</v>
      </c>
      <c r="K827" s="17">
        <f t="shared" si="81"/>
        <v>-26</v>
      </c>
      <c r="M827" s="15">
        <f t="shared" ca="1" si="82"/>
        <v>0</v>
      </c>
      <c r="N827" s="15">
        <f t="shared" ca="1" si="83"/>
        <v>0</v>
      </c>
      <c r="Z827" s="1"/>
    </row>
    <row r="828" spans="3:26" x14ac:dyDescent="0.2">
      <c r="C828" s="39"/>
      <c r="D828" s="39"/>
      <c r="E828" s="38">
        <f>[2]!expavg($T$9:$T$26,$R$9:$R$26,K828,H828)</f>
        <v>0.60472044954610527</v>
      </c>
      <c r="F828" s="38" t="str">
        <f>[2]!expavg2($T$9:$T$26,I828,J828,$R$9:$R$26)</f>
        <v>ERROR: Please use BegPeriod &gt;= 1.</v>
      </c>
      <c r="H828" s="2">
        <f t="shared" si="80"/>
        <v>-2</v>
      </c>
      <c r="I828" s="24">
        <f t="shared" si="84"/>
        <v>-27</v>
      </c>
      <c r="J828" s="24">
        <f t="shared" si="85"/>
        <v>-1</v>
      </c>
      <c r="K828" s="17">
        <f t="shared" si="81"/>
        <v>-25</v>
      </c>
      <c r="M828" s="15">
        <f t="shared" ca="1" si="82"/>
        <v>0</v>
      </c>
      <c r="N828" s="15">
        <f t="shared" ca="1" si="83"/>
        <v>0</v>
      </c>
      <c r="Z828" s="1"/>
    </row>
    <row r="829" spans="3:26" x14ac:dyDescent="0.2">
      <c r="C829" s="39"/>
      <c r="D829" s="39"/>
      <c r="E829" s="38">
        <f>[2]!expavg($T$9:$T$26,$R$9:$R$26,K829,H829)</f>
        <v>0.70939186407915755</v>
      </c>
      <c r="F829" s="38" t="str">
        <f>[2]!expavg2($T$9:$T$26,I829,J829,$R$9:$R$26)</f>
        <v>ERROR: Please use BegPeriod &gt;= 1.</v>
      </c>
      <c r="H829" s="2">
        <f t="shared" si="80"/>
        <v>14</v>
      </c>
      <c r="I829" s="24">
        <f t="shared" si="84"/>
        <v>-28</v>
      </c>
      <c r="J829" s="24">
        <f t="shared" si="85"/>
        <v>15</v>
      </c>
      <c r="K829" s="17">
        <f t="shared" si="81"/>
        <v>-42</v>
      </c>
      <c r="M829" s="15">
        <f t="shared" ca="1" si="82"/>
        <v>0</v>
      </c>
      <c r="N829" s="15">
        <f t="shared" ca="1" si="83"/>
        <v>37287</v>
      </c>
      <c r="Z829" s="1"/>
    </row>
    <row r="830" spans="3:26" x14ac:dyDescent="0.2">
      <c r="C830" s="39"/>
      <c r="D830" s="39"/>
      <c r="E830" s="38">
        <f>[2]!expavg($T$9:$T$26,$R$9:$R$26,K830,H830)</f>
        <v>0.67177139323204882</v>
      </c>
      <c r="F830" s="38" t="str">
        <f>[2]!expavg2($T$9:$T$26,I830,J830,$R$9:$R$26)</f>
        <v>ERROR: Please use BegPeriod &gt;= 1.</v>
      </c>
      <c r="H830" s="2">
        <f t="shared" si="80"/>
        <v>13</v>
      </c>
      <c r="I830" s="24">
        <f t="shared" si="84"/>
        <v>-28</v>
      </c>
      <c r="J830" s="24">
        <f t="shared" si="85"/>
        <v>14</v>
      </c>
      <c r="K830" s="17">
        <f t="shared" si="81"/>
        <v>-41</v>
      </c>
      <c r="M830" s="15">
        <f t="shared" ca="1" si="82"/>
        <v>0</v>
      </c>
      <c r="N830" s="15">
        <f t="shared" ca="1" si="83"/>
        <v>37652</v>
      </c>
      <c r="Z830" s="1"/>
    </row>
    <row r="831" spans="3:26" x14ac:dyDescent="0.2">
      <c r="C831" s="39"/>
      <c r="D831" s="39"/>
      <c r="E831" s="38">
        <f>[2]!expavg($T$9:$T$26,$R$9:$R$26,K831,H831)</f>
        <v>0.66945167850810816</v>
      </c>
      <c r="F831" s="38" t="str">
        <f>[2]!expavg2($T$9:$T$26,I831,J831,$R$9:$R$26)</f>
        <v>ERROR: Please use BegPeriod &gt;= 1.</v>
      </c>
      <c r="H831" s="2">
        <f t="shared" si="80"/>
        <v>12</v>
      </c>
      <c r="I831" s="24">
        <f t="shared" si="84"/>
        <v>-28</v>
      </c>
      <c r="J831" s="24">
        <f t="shared" si="85"/>
        <v>13</v>
      </c>
      <c r="K831" s="17">
        <f t="shared" si="81"/>
        <v>-40</v>
      </c>
      <c r="M831" s="15">
        <f t="shared" ca="1" si="82"/>
        <v>0</v>
      </c>
      <c r="N831" s="15">
        <f t="shared" ca="1" si="83"/>
        <v>38017</v>
      </c>
      <c r="Z831" s="1"/>
    </row>
    <row r="832" spans="3:26" x14ac:dyDescent="0.2">
      <c r="C832" s="39"/>
      <c r="D832" s="39"/>
      <c r="E832" s="38">
        <f>[2]!expavg($T$9:$T$26,$R$9:$R$26,K832,H832)</f>
        <v>0.67904388723605558</v>
      </c>
      <c r="F832" s="38" t="str">
        <f>[2]!expavg2($T$9:$T$26,I832,J832,$R$9:$R$26)</f>
        <v>ERROR: Please use BegPeriod &gt;= 1.</v>
      </c>
      <c r="H832" s="2">
        <f t="shared" si="80"/>
        <v>11</v>
      </c>
      <c r="I832" s="24">
        <f t="shared" si="84"/>
        <v>-28</v>
      </c>
      <c r="J832" s="24">
        <f t="shared" si="85"/>
        <v>12</v>
      </c>
      <c r="K832" s="17">
        <f t="shared" si="81"/>
        <v>-39</v>
      </c>
      <c r="M832" s="15">
        <f t="shared" ca="1" si="82"/>
        <v>0</v>
      </c>
      <c r="N832" s="15">
        <f t="shared" ca="1" si="83"/>
        <v>38383</v>
      </c>
      <c r="Z832" s="1"/>
    </row>
    <row r="833" spans="3:26" x14ac:dyDescent="0.2">
      <c r="C833" s="39"/>
      <c r="D833" s="39"/>
      <c r="E833" s="38">
        <f>[2]!expavg($T$9:$T$26,$R$9:$R$26,K833,H833)</f>
        <v>0.68957279758642287</v>
      </c>
      <c r="F833" s="38" t="str">
        <f>[2]!expavg2($T$9:$T$26,I833,J833,$R$9:$R$26)</f>
        <v>ERROR: Please use BegPeriod &gt;= 1.</v>
      </c>
      <c r="H833" s="2">
        <f t="shared" si="80"/>
        <v>10</v>
      </c>
      <c r="I833" s="24">
        <f t="shared" si="84"/>
        <v>-28</v>
      </c>
      <c r="J833" s="24">
        <f t="shared" si="85"/>
        <v>11</v>
      </c>
      <c r="K833" s="17">
        <f t="shared" si="81"/>
        <v>-38</v>
      </c>
      <c r="M833" s="15">
        <f t="shared" ca="1" si="82"/>
        <v>0</v>
      </c>
      <c r="N833" s="15">
        <f t="shared" ca="1" si="83"/>
        <v>38748</v>
      </c>
      <c r="Z833" s="1"/>
    </row>
    <row r="834" spans="3:26" x14ac:dyDescent="0.2">
      <c r="C834" s="39"/>
      <c r="D834" s="39"/>
      <c r="E834" s="38">
        <f>[2]!expavg($T$9:$T$26,$R$9:$R$26,K834,H834)</f>
        <v>0.67160897630855276</v>
      </c>
      <c r="F834" s="38" t="str">
        <f>[2]!expavg2($T$9:$T$26,I834,J834,$R$9:$R$26)</f>
        <v>ERROR: Please use BegPeriod &gt;= 1.</v>
      </c>
      <c r="H834" s="2">
        <f t="shared" si="80"/>
        <v>9</v>
      </c>
      <c r="I834" s="24">
        <f t="shared" si="84"/>
        <v>-28</v>
      </c>
      <c r="J834" s="24">
        <f t="shared" si="85"/>
        <v>10</v>
      </c>
      <c r="K834" s="17">
        <f t="shared" si="81"/>
        <v>-37</v>
      </c>
      <c r="M834" s="15">
        <f t="shared" ca="1" si="82"/>
        <v>0</v>
      </c>
      <c r="N834" s="15">
        <f t="shared" ca="1" si="83"/>
        <v>39113</v>
      </c>
      <c r="Z834" s="1"/>
    </row>
    <row r="835" spans="3:26" x14ac:dyDescent="0.2">
      <c r="C835" s="39"/>
      <c r="D835" s="39"/>
      <c r="E835" s="38">
        <f>[2]!expavg($T$9:$T$26,$R$9:$R$26,K835,H835)</f>
        <v>0.66527157980250695</v>
      </c>
      <c r="F835" s="38" t="str">
        <f>[2]!expavg2($T$9:$T$26,I835,J835,$R$9:$R$26)</f>
        <v>ERROR: Please use BegPeriod &gt;= 1.</v>
      </c>
      <c r="H835" s="2">
        <f t="shared" si="80"/>
        <v>8</v>
      </c>
      <c r="I835" s="24">
        <f t="shared" si="84"/>
        <v>-28</v>
      </c>
      <c r="J835" s="24">
        <f t="shared" si="85"/>
        <v>9</v>
      </c>
      <c r="K835" s="17">
        <f t="shared" si="81"/>
        <v>-36</v>
      </c>
      <c r="M835" s="15">
        <f t="shared" ca="1" si="82"/>
        <v>0</v>
      </c>
      <c r="N835" s="15">
        <f t="shared" ca="1" si="83"/>
        <v>39478</v>
      </c>
      <c r="Z835" s="1"/>
    </row>
    <row r="836" spans="3:26" x14ac:dyDescent="0.2">
      <c r="C836" s="39"/>
      <c r="D836" s="39"/>
      <c r="E836" s="38">
        <f>[2]!expavg($T$9:$T$26,$R$9:$R$26,K836,H836)</f>
        <v>0.68450987024306864</v>
      </c>
      <c r="F836" s="38" t="str">
        <f>[2]!expavg2($T$9:$T$26,I836,J836,$R$9:$R$26)</f>
        <v>ERROR: Please use BegPeriod &gt;= 1.</v>
      </c>
      <c r="H836" s="2">
        <f t="shared" si="80"/>
        <v>7</v>
      </c>
      <c r="I836" s="24">
        <f t="shared" si="84"/>
        <v>-28</v>
      </c>
      <c r="J836" s="24">
        <f t="shared" si="85"/>
        <v>8</v>
      </c>
      <c r="K836" s="17">
        <f t="shared" si="81"/>
        <v>-35</v>
      </c>
      <c r="M836" s="15">
        <f t="shared" ca="1" si="82"/>
        <v>0</v>
      </c>
      <c r="N836" s="15">
        <f t="shared" ca="1" si="83"/>
        <v>39844</v>
      </c>
      <c r="Z836" s="1"/>
    </row>
    <row r="837" spans="3:26" x14ac:dyDescent="0.2">
      <c r="C837" s="39"/>
      <c r="D837" s="39"/>
      <c r="E837" s="38">
        <f>[2]!expavg($T$9:$T$26,$R$9:$R$26,K837,H837)</f>
        <v>0.67627397338659268</v>
      </c>
      <c r="F837" s="38" t="str">
        <f>[2]!expavg2($T$9:$T$26,I837,J837,$R$9:$R$26)</f>
        <v>ERROR: Please use BegPeriod &gt;= 1.</v>
      </c>
      <c r="H837" s="2">
        <f t="shared" si="80"/>
        <v>6</v>
      </c>
      <c r="I837" s="24">
        <f t="shared" si="84"/>
        <v>-28</v>
      </c>
      <c r="J837" s="24">
        <f t="shared" si="85"/>
        <v>7</v>
      </c>
      <c r="K837" s="17">
        <f t="shared" si="81"/>
        <v>-34</v>
      </c>
      <c r="M837" s="15">
        <f t="shared" ca="1" si="82"/>
        <v>0</v>
      </c>
      <c r="N837" s="15">
        <f t="shared" ca="1" si="83"/>
        <v>40209</v>
      </c>
      <c r="Z837" s="1"/>
    </row>
    <row r="838" spans="3:26" x14ac:dyDescent="0.2">
      <c r="C838" s="39"/>
      <c r="D838" s="39"/>
      <c r="E838" s="38">
        <f>[2]!expavg($T$9:$T$26,$R$9:$R$26,K838,H838)</f>
        <v>0.66006899259190965</v>
      </c>
      <c r="F838" s="38" t="str">
        <f>[2]!expavg2($T$9:$T$26,I838,J838,$R$9:$R$26)</f>
        <v>ERROR: Please use BegPeriod &gt;= 1.</v>
      </c>
      <c r="H838" s="2">
        <f t="shared" si="80"/>
        <v>5</v>
      </c>
      <c r="I838" s="24">
        <f t="shared" si="84"/>
        <v>-28</v>
      </c>
      <c r="J838" s="24">
        <f t="shared" si="85"/>
        <v>6</v>
      </c>
      <c r="K838" s="17">
        <f t="shared" si="81"/>
        <v>-33</v>
      </c>
      <c r="M838" s="15">
        <f t="shared" ca="1" si="82"/>
        <v>0</v>
      </c>
      <c r="N838" s="15">
        <f t="shared" ca="1" si="83"/>
        <v>40574</v>
      </c>
      <c r="Z838" s="1"/>
    </row>
    <row r="839" spans="3:26" x14ac:dyDescent="0.2">
      <c r="C839" s="39"/>
      <c r="D839" s="39"/>
      <c r="E839" s="38">
        <f>[2]!expavg($T$9:$T$26,$R$9:$R$26,K839,H839)</f>
        <v>0.64048216018789683</v>
      </c>
      <c r="F839" s="38" t="str">
        <f>[2]!expavg2($T$9:$T$26,I839,J839,$R$9:$R$26)</f>
        <v>ERROR: Please use BegPeriod &gt;= 1.</v>
      </c>
      <c r="H839" s="2">
        <f t="shared" si="80"/>
        <v>4</v>
      </c>
      <c r="I839" s="24">
        <f t="shared" si="84"/>
        <v>-28</v>
      </c>
      <c r="J839" s="24">
        <f t="shared" si="85"/>
        <v>5</v>
      </c>
      <c r="K839" s="17">
        <f t="shared" si="81"/>
        <v>-32</v>
      </c>
      <c r="M839" s="15">
        <f t="shared" ca="1" si="82"/>
        <v>0</v>
      </c>
      <c r="N839" s="15">
        <f t="shared" ca="1" si="83"/>
        <v>40939</v>
      </c>
      <c r="Z839" s="1"/>
    </row>
    <row r="840" spans="3:26" x14ac:dyDescent="0.2">
      <c r="C840" s="39"/>
      <c r="D840" s="39"/>
      <c r="E840" s="38">
        <f>[2]!expavg($T$9:$T$26,$R$9:$R$26,K840,H840)</f>
        <v>0.62815488340610859</v>
      </c>
      <c r="F840" s="38" t="str">
        <f>[2]!expavg2($T$9:$T$26,I840,J840,$R$9:$R$26)</f>
        <v>ERROR: Please use BegPeriod &gt;= 1.</v>
      </c>
      <c r="H840" s="2">
        <f t="shared" si="80"/>
        <v>3</v>
      </c>
      <c r="I840" s="24">
        <f t="shared" si="84"/>
        <v>-28</v>
      </c>
      <c r="J840" s="24">
        <f t="shared" si="85"/>
        <v>4</v>
      </c>
      <c r="K840" s="17">
        <f t="shared" si="81"/>
        <v>-31</v>
      </c>
      <c r="M840" s="15">
        <f t="shared" ca="1" si="82"/>
        <v>0</v>
      </c>
      <c r="N840" s="15">
        <f t="shared" ca="1" si="83"/>
        <v>41305</v>
      </c>
      <c r="Z840" s="1"/>
    </row>
    <row r="841" spans="3:26" x14ac:dyDescent="0.2">
      <c r="C841" s="39"/>
      <c r="D841" s="39"/>
      <c r="E841" s="38">
        <f>[2]!expavg($T$9:$T$26,$R$9:$R$26,K841,H841)</f>
        <v>0.62040838094689943</v>
      </c>
      <c r="F841" s="38" t="str">
        <f>[2]!expavg2($T$9:$T$26,I841,J841,$R$9:$R$26)</f>
        <v>ERROR: Please use BegPeriod &gt;= 1.</v>
      </c>
      <c r="H841" s="2">
        <f t="shared" si="80"/>
        <v>2</v>
      </c>
      <c r="I841" s="24">
        <f t="shared" si="84"/>
        <v>-28</v>
      </c>
      <c r="J841" s="24">
        <f t="shared" si="85"/>
        <v>3</v>
      </c>
      <c r="K841" s="17">
        <f t="shared" si="81"/>
        <v>-30</v>
      </c>
      <c r="M841" s="15">
        <f t="shared" ca="1" si="82"/>
        <v>0</v>
      </c>
      <c r="N841" s="15">
        <f t="shared" ca="1" si="83"/>
        <v>41670</v>
      </c>
      <c r="Z841" s="1"/>
    </row>
    <row r="842" spans="3:26" x14ac:dyDescent="0.2">
      <c r="C842" s="39"/>
      <c r="D842" s="39"/>
      <c r="E842" s="38">
        <f>[2]!expavg($T$9:$T$26,$R$9:$R$26,K842,H842)</f>
        <v>0.60752408974439076</v>
      </c>
      <c r="F842" s="38" t="str">
        <f>[2]!expavg2($T$9:$T$26,I842,J842,$R$9:$R$26)</f>
        <v>ERROR: Please use BegPeriod &gt;= 1.</v>
      </c>
      <c r="H842" s="2">
        <f t="shared" si="80"/>
        <v>1</v>
      </c>
      <c r="I842" s="24">
        <f t="shared" si="84"/>
        <v>-28</v>
      </c>
      <c r="J842" s="24">
        <f t="shared" si="85"/>
        <v>2</v>
      </c>
      <c r="K842" s="17">
        <f t="shared" si="81"/>
        <v>-29</v>
      </c>
      <c r="M842" s="15">
        <f t="shared" ca="1" si="82"/>
        <v>0</v>
      </c>
      <c r="N842" s="15">
        <f t="shared" ca="1" si="83"/>
        <v>42035</v>
      </c>
      <c r="Z842" s="1"/>
    </row>
    <row r="843" spans="3:26" x14ac:dyDescent="0.2">
      <c r="C843" s="39"/>
      <c r="D843" s="39"/>
      <c r="E843" s="38">
        <f>[2]!expavg($T$9:$T$26,$R$9:$R$26,K843,H843)</f>
        <v>0.60472044954610527</v>
      </c>
      <c r="F843" s="38" t="str">
        <f>[2]!expavg2($T$9:$T$26,I843,J843,$R$9:$R$26)</f>
        <v>ERROR: Please use BegPeriod &gt;= 1.</v>
      </c>
      <c r="H843" s="2">
        <f t="shared" si="80"/>
        <v>0</v>
      </c>
      <c r="I843" s="24">
        <f t="shared" si="84"/>
        <v>-28</v>
      </c>
      <c r="J843" s="24">
        <f t="shared" si="85"/>
        <v>1</v>
      </c>
      <c r="K843" s="17">
        <f t="shared" si="81"/>
        <v>-28</v>
      </c>
      <c r="M843" s="15">
        <f t="shared" ca="1" si="82"/>
        <v>0</v>
      </c>
      <c r="N843" s="15">
        <f t="shared" ca="1" si="83"/>
        <v>42400</v>
      </c>
      <c r="Z843" s="1"/>
    </row>
    <row r="844" spans="3:26" x14ac:dyDescent="0.2">
      <c r="C844" s="39"/>
      <c r="D844" s="39"/>
      <c r="E844" s="38">
        <f>[2]!expavg($T$9:$T$26,$R$9:$R$26,K844,H844)</f>
        <v>0.60472044954610527</v>
      </c>
      <c r="F844" s="38" t="str">
        <f>[2]!expavg2($T$9:$T$26,I844,J844,$R$9:$R$26)</f>
        <v>ERROR: Please use BegPeriod &gt;= 1.</v>
      </c>
      <c r="H844" s="2">
        <f t="shared" si="80"/>
        <v>-1</v>
      </c>
      <c r="I844" s="24">
        <f t="shared" si="84"/>
        <v>-28</v>
      </c>
      <c r="J844" s="24">
        <f t="shared" si="85"/>
        <v>0</v>
      </c>
      <c r="K844" s="17">
        <f t="shared" si="81"/>
        <v>-27</v>
      </c>
      <c r="M844" s="15">
        <f t="shared" ca="1" si="82"/>
        <v>0</v>
      </c>
      <c r="N844" s="15">
        <f t="shared" ca="1" si="83"/>
        <v>0</v>
      </c>
      <c r="Z844" s="1"/>
    </row>
    <row r="845" spans="3:26" x14ac:dyDescent="0.2">
      <c r="C845" s="39"/>
      <c r="D845" s="39"/>
      <c r="E845" s="38">
        <f>[2]!expavg($T$9:$T$26,$R$9:$R$26,K845,H845)</f>
        <v>0.60472044954610527</v>
      </c>
      <c r="F845" s="38" t="str">
        <f>[2]!expavg2($T$9:$T$26,I845,J845,$R$9:$R$26)</f>
        <v>ERROR: Please use BegPeriod &gt;= 1.</v>
      </c>
      <c r="H845" s="2">
        <f t="shared" si="80"/>
        <v>-2</v>
      </c>
      <c r="I845" s="24">
        <f t="shared" si="84"/>
        <v>-28</v>
      </c>
      <c r="J845" s="24">
        <f t="shared" si="85"/>
        <v>-1</v>
      </c>
      <c r="K845" s="17">
        <f t="shared" si="81"/>
        <v>-26</v>
      </c>
      <c r="M845" s="15">
        <f t="shared" ca="1" si="82"/>
        <v>0</v>
      </c>
      <c r="N845" s="15">
        <f t="shared" ca="1" si="83"/>
        <v>0</v>
      </c>
      <c r="Z845" s="1"/>
    </row>
    <row r="846" spans="3:26" x14ac:dyDescent="0.2">
      <c r="C846" s="39"/>
      <c r="D846" s="39"/>
      <c r="E846" s="38">
        <f>[2]!expavg($T$9:$T$26,$R$9:$R$26,K846,H846)</f>
        <v>0.70939186407915755</v>
      </c>
      <c r="F846" s="38" t="str">
        <f>[2]!expavg2($T$9:$T$26,I846,J846,$R$9:$R$26)</f>
        <v>ERROR: Please use BegPeriod &gt;= 1.</v>
      </c>
      <c r="H846" s="2">
        <f t="shared" si="80"/>
        <v>14</v>
      </c>
      <c r="I846" s="24">
        <f t="shared" si="84"/>
        <v>-29</v>
      </c>
      <c r="J846" s="24">
        <f t="shared" si="85"/>
        <v>15</v>
      </c>
      <c r="K846" s="17">
        <f t="shared" si="81"/>
        <v>-43</v>
      </c>
      <c r="M846" s="15">
        <f t="shared" ca="1" si="82"/>
        <v>0</v>
      </c>
      <c r="N846" s="15">
        <f t="shared" ca="1" si="83"/>
        <v>37287</v>
      </c>
      <c r="Z846" s="1"/>
    </row>
    <row r="847" spans="3:26" x14ac:dyDescent="0.2">
      <c r="C847" s="39"/>
      <c r="D847" s="39"/>
      <c r="E847" s="38">
        <f>[2]!expavg($T$9:$T$26,$R$9:$R$26,K847,H847)</f>
        <v>0.67177139323204882</v>
      </c>
      <c r="F847" s="38" t="str">
        <f>[2]!expavg2($T$9:$T$26,I847,J847,$R$9:$R$26)</f>
        <v>ERROR: Please use BegPeriod &gt;= 1.</v>
      </c>
      <c r="H847" s="2">
        <f t="shared" si="80"/>
        <v>13</v>
      </c>
      <c r="I847" s="24">
        <f t="shared" si="84"/>
        <v>-29</v>
      </c>
      <c r="J847" s="24">
        <f t="shared" si="85"/>
        <v>14</v>
      </c>
      <c r="K847" s="17">
        <f t="shared" si="81"/>
        <v>-42</v>
      </c>
      <c r="M847" s="15">
        <f t="shared" ca="1" si="82"/>
        <v>0</v>
      </c>
      <c r="N847" s="15">
        <f t="shared" ca="1" si="83"/>
        <v>37652</v>
      </c>
      <c r="Z847" s="1"/>
    </row>
    <row r="848" spans="3:26" x14ac:dyDescent="0.2">
      <c r="C848" s="39"/>
      <c r="D848" s="39"/>
      <c r="E848" s="38">
        <f>[2]!expavg($T$9:$T$26,$R$9:$R$26,K848,H848)</f>
        <v>0.66945167850810816</v>
      </c>
      <c r="F848" s="38" t="str">
        <f>[2]!expavg2($T$9:$T$26,I848,J848,$R$9:$R$26)</f>
        <v>ERROR: Please use BegPeriod &gt;= 1.</v>
      </c>
      <c r="H848" s="2">
        <f t="shared" si="80"/>
        <v>12</v>
      </c>
      <c r="I848" s="24">
        <f t="shared" si="84"/>
        <v>-29</v>
      </c>
      <c r="J848" s="24">
        <f t="shared" si="85"/>
        <v>13</v>
      </c>
      <c r="K848" s="17">
        <f t="shared" si="81"/>
        <v>-41</v>
      </c>
      <c r="M848" s="15">
        <f t="shared" ca="1" si="82"/>
        <v>0</v>
      </c>
      <c r="N848" s="15">
        <f t="shared" ca="1" si="83"/>
        <v>38017</v>
      </c>
      <c r="Z848" s="1"/>
    </row>
    <row r="849" spans="3:26" x14ac:dyDescent="0.2">
      <c r="C849" s="39"/>
      <c r="D849" s="39"/>
      <c r="E849" s="38">
        <f>[2]!expavg($T$9:$T$26,$R$9:$R$26,K849,H849)</f>
        <v>0.67904388723605558</v>
      </c>
      <c r="F849" s="38" t="str">
        <f>[2]!expavg2($T$9:$T$26,I849,J849,$R$9:$R$26)</f>
        <v>ERROR: Please use BegPeriod &gt;= 1.</v>
      </c>
      <c r="H849" s="2">
        <f t="shared" si="80"/>
        <v>11</v>
      </c>
      <c r="I849" s="24">
        <f t="shared" si="84"/>
        <v>-29</v>
      </c>
      <c r="J849" s="24">
        <f t="shared" si="85"/>
        <v>12</v>
      </c>
      <c r="K849" s="17">
        <f t="shared" si="81"/>
        <v>-40</v>
      </c>
      <c r="M849" s="15">
        <f t="shared" ca="1" si="82"/>
        <v>0</v>
      </c>
      <c r="N849" s="15">
        <f t="shared" ca="1" si="83"/>
        <v>38383</v>
      </c>
      <c r="Z849" s="1"/>
    </row>
    <row r="850" spans="3:26" x14ac:dyDescent="0.2">
      <c r="C850" s="39"/>
      <c r="D850" s="39"/>
      <c r="E850" s="38">
        <f>[2]!expavg($T$9:$T$26,$R$9:$R$26,K850,H850)</f>
        <v>0.68957279758642287</v>
      </c>
      <c r="F850" s="38" t="str">
        <f>[2]!expavg2($T$9:$T$26,I850,J850,$R$9:$R$26)</f>
        <v>ERROR: Please use BegPeriod &gt;= 1.</v>
      </c>
      <c r="H850" s="2">
        <f t="shared" si="80"/>
        <v>10</v>
      </c>
      <c r="I850" s="24">
        <f t="shared" si="84"/>
        <v>-29</v>
      </c>
      <c r="J850" s="24">
        <f t="shared" si="85"/>
        <v>11</v>
      </c>
      <c r="K850" s="17">
        <f t="shared" si="81"/>
        <v>-39</v>
      </c>
      <c r="M850" s="15">
        <f t="shared" ca="1" si="82"/>
        <v>0</v>
      </c>
      <c r="N850" s="15">
        <f t="shared" ca="1" si="83"/>
        <v>38748</v>
      </c>
      <c r="Z850" s="1"/>
    </row>
    <row r="851" spans="3:26" x14ac:dyDescent="0.2">
      <c r="C851" s="39"/>
      <c r="D851" s="39"/>
      <c r="E851" s="38">
        <f>[2]!expavg($T$9:$T$26,$R$9:$R$26,K851,H851)</f>
        <v>0.67160897630855276</v>
      </c>
      <c r="F851" s="38" t="str">
        <f>[2]!expavg2($T$9:$T$26,I851,J851,$R$9:$R$26)</f>
        <v>ERROR: Please use BegPeriod &gt;= 1.</v>
      </c>
      <c r="H851" s="2">
        <f t="shared" si="80"/>
        <v>9</v>
      </c>
      <c r="I851" s="24">
        <f t="shared" si="84"/>
        <v>-29</v>
      </c>
      <c r="J851" s="24">
        <f t="shared" si="85"/>
        <v>10</v>
      </c>
      <c r="K851" s="17">
        <f t="shared" si="81"/>
        <v>-38</v>
      </c>
      <c r="M851" s="15">
        <f t="shared" ca="1" si="82"/>
        <v>0</v>
      </c>
      <c r="N851" s="15">
        <f t="shared" ca="1" si="83"/>
        <v>39113</v>
      </c>
      <c r="Z851" s="1"/>
    </row>
    <row r="852" spans="3:26" x14ac:dyDescent="0.2">
      <c r="C852" s="39"/>
      <c r="D852" s="39"/>
      <c r="E852" s="38">
        <f>[2]!expavg($T$9:$T$26,$R$9:$R$26,K852,H852)</f>
        <v>0.66527157980250695</v>
      </c>
      <c r="F852" s="38" t="str">
        <f>[2]!expavg2($T$9:$T$26,I852,J852,$R$9:$R$26)</f>
        <v>ERROR: Please use BegPeriod &gt;= 1.</v>
      </c>
      <c r="H852" s="2">
        <f t="shared" si="80"/>
        <v>8</v>
      </c>
      <c r="I852" s="24">
        <f t="shared" si="84"/>
        <v>-29</v>
      </c>
      <c r="J852" s="24">
        <f t="shared" si="85"/>
        <v>9</v>
      </c>
      <c r="K852" s="17">
        <f t="shared" si="81"/>
        <v>-37</v>
      </c>
      <c r="M852" s="15">
        <f t="shared" ca="1" si="82"/>
        <v>0</v>
      </c>
      <c r="N852" s="15">
        <f t="shared" ca="1" si="83"/>
        <v>39478</v>
      </c>
      <c r="Z852" s="1"/>
    </row>
    <row r="853" spans="3:26" x14ac:dyDescent="0.2">
      <c r="C853" s="39"/>
      <c r="D853" s="39"/>
      <c r="E853" s="38">
        <f>[2]!expavg($T$9:$T$26,$R$9:$R$26,K853,H853)</f>
        <v>0.68450987024306864</v>
      </c>
      <c r="F853" s="38" t="str">
        <f>[2]!expavg2($T$9:$T$26,I853,J853,$R$9:$R$26)</f>
        <v>ERROR: Please use BegPeriod &gt;= 1.</v>
      </c>
      <c r="H853" s="2">
        <f t="shared" si="80"/>
        <v>7</v>
      </c>
      <c r="I853" s="24">
        <f t="shared" si="84"/>
        <v>-29</v>
      </c>
      <c r="J853" s="24">
        <f t="shared" si="85"/>
        <v>8</v>
      </c>
      <c r="K853" s="17">
        <f t="shared" si="81"/>
        <v>-36</v>
      </c>
      <c r="M853" s="15">
        <f t="shared" ca="1" si="82"/>
        <v>0</v>
      </c>
      <c r="N853" s="15">
        <f t="shared" ca="1" si="83"/>
        <v>39844</v>
      </c>
      <c r="Z853" s="1"/>
    </row>
    <row r="854" spans="3:26" x14ac:dyDescent="0.2">
      <c r="C854" s="39"/>
      <c r="D854" s="39"/>
      <c r="E854" s="38">
        <f>[2]!expavg($T$9:$T$26,$R$9:$R$26,K854,H854)</f>
        <v>0.67627397338659268</v>
      </c>
      <c r="F854" s="38" t="str">
        <f>[2]!expavg2($T$9:$T$26,I854,J854,$R$9:$R$26)</f>
        <v>ERROR: Please use BegPeriod &gt;= 1.</v>
      </c>
      <c r="H854" s="2">
        <f t="shared" si="80"/>
        <v>6</v>
      </c>
      <c r="I854" s="24">
        <f t="shared" si="84"/>
        <v>-29</v>
      </c>
      <c r="J854" s="24">
        <f t="shared" si="85"/>
        <v>7</v>
      </c>
      <c r="K854" s="17">
        <f t="shared" si="81"/>
        <v>-35</v>
      </c>
      <c r="M854" s="15">
        <f t="shared" ca="1" si="82"/>
        <v>0</v>
      </c>
      <c r="N854" s="15">
        <f t="shared" ca="1" si="83"/>
        <v>40209</v>
      </c>
      <c r="Z854" s="1"/>
    </row>
    <row r="855" spans="3:26" x14ac:dyDescent="0.2">
      <c r="C855" s="39"/>
      <c r="D855" s="39"/>
      <c r="E855" s="38">
        <f>[2]!expavg($T$9:$T$26,$R$9:$R$26,K855,H855)</f>
        <v>0.66006899259190965</v>
      </c>
      <c r="F855" s="38" t="str">
        <f>[2]!expavg2($T$9:$T$26,I855,J855,$R$9:$R$26)</f>
        <v>ERROR: Please use BegPeriod &gt;= 1.</v>
      </c>
      <c r="H855" s="2">
        <f t="shared" si="80"/>
        <v>5</v>
      </c>
      <c r="I855" s="24">
        <f t="shared" si="84"/>
        <v>-29</v>
      </c>
      <c r="J855" s="24">
        <f t="shared" si="85"/>
        <v>6</v>
      </c>
      <c r="K855" s="17">
        <f t="shared" si="81"/>
        <v>-34</v>
      </c>
      <c r="M855" s="15">
        <f t="shared" ca="1" si="82"/>
        <v>0</v>
      </c>
      <c r="N855" s="15">
        <f t="shared" ca="1" si="83"/>
        <v>40574</v>
      </c>
      <c r="Z855" s="1"/>
    </row>
    <row r="856" spans="3:26" x14ac:dyDescent="0.2">
      <c r="C856" s="39"/>
      <c r="D856" s="39"/>
      <c r="E856" s="38">
        <f>[2]!expavg($T$9:$T$26,$R$9:$R$26,K856,H856)</f>
        <v>0.64048216018789683</v>
      </c>
      <c r="F856" s="38" t="str">
        <f>[2]!expavg2($T$9:$T$26,I856,J856,$R$9:$R$26)</f>
        <v>ERROR: Please use BegPeriod &gt;= 1.</v>
      </c>
      <c r="H856" s="2">
        <f t="shared" si="80"/>
        <v>4</v>
      </c>
      <c r="I856" s="24">
        <f t="shared" si="84"/>
        <v>-29</v>
      </c>
      <c r="J856" s="24">
        <f t="shared" si="85"/>
        <v>5</v>
      </c>
      <c r="K856" s="17">
        <f t="shared" si="81"/>
        <v>-33</v>
      </c>
      <c r="M856" s="15">
        <f t="shared" ca="1" si="82"/>
        <v>0</v>
      </c>
      <c r="N856" s="15">
        <f t="shared" ca="1" si="83"/>
        <v>40939</v>
      </c>
      <c r="Z856" s="1"/>
    </row>
    <row r="857" spans="3:26" x14ac:dyDescent="0.2">
      <c r="C857" s="39"/>
      <c r="D857" s="39"/>
      <c r="E857" s="38">
        <f>[2]!expavg($T$9:$T$26,$R$9:$R$26,K857,H857)</f>
        <v>0.62815488340610859</v>
      </c>
      <c r="F857" s="38" t="str">
        <f>[2]!expavg2($T$9:$T$26,I857,J857,$R$9:$R$26)</f>
        <v>ERROR: Please use BegPeriod &gt;= 1.</v>
      </c>
      <c r="H857" s="2">
        <f t="shared" si="80"/>
        <v>3</v>
      </c>
      <c r="I857" s="24">
        <f t="shared" si="84"/>
        <v>-29</v>
      </c>
      <c r="J857" s="24">
        <f t="shared" si="85"/>
        <v>4</v>
      </c>
      <c r="K857" s="17">
        <f t="shared" si="81"/>
        <v>-32</v>
      </c>
      <c r="M857" s="15">
        <f t="shared" ca="1" si="82"/>
        <v>0</v>
      </c>
      <c r="N857" s="15">
        <f t="shared" ca="1" si="83"/>
        <v>41305</v>
      </c>
      <c r="Z857" s="1"/>
    </row>
    <row r="858" spans="3:26" x14ac:dyDescent="0.2">
      <c r="C858" s="39"/>
      <c r="D858" s="39"/>
      <c r="E858" s="38">
        <f>[2]!expavg($T$9:$T$26,$R$9:$R$26,K858,H858)</f>
        <v>0.62040838094689943</v>
      </c>
      <c r="F858" s="38" t="str">
        <f>[2]!expavg2($T$9:$T$26,I858,J858,$R$9:$R$26)</f>
        <v>ERROR: Please use BegPeriod &gt;= 1.</v>
      </c>
      <c r="H858" s="2">
        <f t="shared" si="80"/>
        <v>2</v>
      </c>
      <c r="I858" s="24">
        <f t="shared" si="84"/>
        <v>-29</v>
      </c>
      <c r="J858" s="24">
        <f t="shared" si="85"/>
        <v>3</v>
      </c>
      <c r="K858" s="17">
        <f t="shared" si="81"/>
        <v>-31</v>
      </c>
      <c r="M858" s="15">
        <f t="shared" ca="1" si="82"/>
        <v>0</v>
      </c>
      <c r="N858" s="15">
        <f t="shared" ca="1" si="83"/>
        <v>41670</v>
      </c>
      <c r="Z858" s="1"/>
    </row>
    <row r="859" spans="3:26" x14ac:dyDescent="0.2">
      <c r="C859" s="39"/>
      <c r="D859" s="39"/>
      <c r="E859" s="38">
        <f>[2]!expavg($T$9:$T$26,$R$9:$R$26,K859,H859)</f>
        <v>0.60752408974439076</v>
      </c>
      <c r="F859" s="38" t="str">
        <f>[2]!expavg2($T$9:$T$26,I859,J859,$R$9:$R$26)</f>
        <v>ERROR: Please use BegPeriod &gt;= 1.</v>
      </c>
      <c r="H859" s="2">
        <f t="shared" si="80"/>
        <v>1</v>
      </c>
      <c r="I859" s="24">
        <f t="shared" si="84"/>
        <v>-29</v>
      </c>
      <c r="J859" s="24">
        <f t="shared" si="85"/>
        <v>2</v>
      </c>
      <c r="K859" s="17">
        <f t="shared" si="81"/>
        <v>-30</v>
      </c>
      <c r="M859" s="15">
        <f t="shared" ca="1" si="82"/>
        <v>0</v>
      </c>
      <c r="N859" s="15">
        <f t="shared" ca="1" si="83"/>
        <v>42035</v>
      </c>
      <c r="Z859" s="1"/>
    </row>
    <row r="860" spans="3:26" x14ac:dyDescent="0.2">
      <c r="C860" s="39"/>
      <c r="D860" s="39"/>
      <c r="E860" s="38">
        <f>[2]!expavg($T$9:$T$26,$R$9:$R$26,K860,H860)</f>
        <v>0.60472044954610527</v>
      </c>
      <c r="F860" s="38" t="str">
        <f>[2]!expavg2($T$9:$T$26,I860,J860,$R$9:$R$26)</f>
        <v>ERROR: Please use BegPeriod &gt;= 1.</v>
      </c>
      <c r="H860" s="2">
        <f t="shared" si="80"/>
        <v>0</v>
      </c>
      <c r="I860" s="24">
        <f t="shared" si="84"/>
        <v>-29</v>
      </c>
      <c r="J860" s="24">
        <f t="shared" si="85"/>
        <v>1</v>
      </c>
      <c r="K860" s="17">
        <f t="shared" si="81"/>
        <v>-29</v>
      </c>
      <c r="M860" s="15">
        <f t="shared" ca="1" si="82"/>
        <v>0</v>
      </c>
      <c r="N860" s="15">
        <f t="shared" ca="1" si="83"/>
        <v>42400</v>
      </c>
      <c r="Z860" s="1"/>
    </row>
    <row r="861" spans="3:26" x14ac:dyDescent="0.2">
      <c r="C861" s="39"/>
      <c r="D861" s="39"/>
      <c r="E861" s="38">
        <f>[2]!expavg($T$9:$T$26,$R$9:$R$26,K861,H861)</f>
        <v>0.60472044954610527</v>
      </c>
      <c r="F861" s="38" t="str">
        <f>[2]!expavg2($T$9:$T$26,I861,J861,$R$9:$R$26)</f>
        <v>ERROR: Please use BegPeriod &gt;= 1.</v>
      </c>
      <c r="H861" s="2">
        <f t="shared" si="80"/>
        <v>-1</v>
      </c>
      <c r="I861" s="24">
        <f t="shared" si="84"/>
        <v>-29</v>
      </c>
      <c r="J861" s="24">
        <f t="shared" si="85"/>
        <v>0</v>
      </c>
      <c r="K861" s="17">
        <f t="shared" si="81"/>
        <v>-28</v>
      </c>
      <c r="M861" s="15">
        <f t="shared" ca="1" si="82"/>
        <v>0</v>
      </c>
      <c r="N861" s="15">
        <f t="shared" ca="1" si="83"/>
        <v>0</v>
      </c>
      <c r="Z861" s="1"/>
    </row>
    <row r="862" spans="3:26" x14ac:dyDescent="0.2">
      <c r="C862" s="39"/>
      <c r="D862" s="39"/>
      <c r="E862" s="38">
        <f>[2]!expavg($T$9:$T$26,$R$9:$R$26,K862,H862)</f>
        <v>0.60472044954610527</v>
      </c>
      <c r="F862" s="38" t="str">
        <f>[2]!expavg2($T$9:$T$26,I862,J862,$R$9:$R$26)</f>
        <v>ERROR: Please use BegPeriod &gt;= 1.</v>
      </c>
      <c r="H862" s="2">
        <f t="shared" si="80"/>
        <v>-2</v>
      </c>
      <c r="I862" s="24">
        <f t="shared" si="84"/>
        <v>-29</v>
      </c>
      <c r="J862" s="24">
        <f t="shared" si="85"/>
        <v>-1</v>
      </c>
      <c r="K862" s="17">
        <f t="shared" si="81"/>
        <v>-27</v>
      </c>
      <c r="M862" s="15">
        <f t="shared" ca="1" si="82"/>
        <v>0</v>
      </c>
      <c r="N862" s="15">
        <f t="shared" ca="1" si="83"/>
        <v>0</v>
      </c>
      <c r="Z862" s="1"/>
    </row>
    <row r="863" spans="3:26" x14ac:dyDescent="0.2">
      <c r="C863" s="39"/>
      <c r="D863" s="39"/>
      <c r="E863" s="38">
        <f>[2]!expavg($T$9:$T$26,$R$9:$R$26,K863,H863)</f>
        <v>0.70939186407915755</v>
      </c>
      <c r="F863" s="38" t="str">
        <f>[2]!expavg2($T$9:$T$26,I863,J863,$R$9:$R$26)</f>
        <v>ERROR: Please use BegPeriod &gt;= 1.</v>
      </c>
      <c r="H863" s="2">
        <f t="shared" si="80"/>
        <v>14</v>
      </c>
      <c r="I863" s="24">
        <f t="shared" si="84"/>
        <v>-30</v>
      </c>
      <c r="J863" s="24">
        <f t="shared" si="85"/>
        <v>15</v>
      </c>
      <c r="K863" s="17">
        <f t="shared" si="81"/>
        <v>-44</v>
      </c>
      <c r="M863" s="15">
        <f t="shared" ca="1" si="82"/>
        <v>0</v>
      </c>
      <c r="N863" s="15">
        <f t="shared" ca="1" si="83"/>
        <v>37287</v>
      </c>
      <c r="Z863" s="1"/>
    </row>
    <row r="864" spans="3:26" x14ac:dyDescent="0.2">
      <c r="C864" s="39"/>
      <c r="D864" s="39"/>
      <c r="E864" s="38">
        <f>[2]!expavg($T$9:$T$26,$R$9:$R$26,K864,H864)</f>
        <v>0.67177139323204882</v>
      </c>
      <c r="F864" s="38" t="str">
        <f>[2]!expavg2($T$9:$T$26,I864,J864,$R$9:$R$26)</f>
        <v>ERROR: Please use BegPeriod &gt;= 1.</v>
      </c>
      <c r="H864" s="2">
        <f t="shared" si="80"/>
        <v>13</v>
      </c>
      <c r="I864" s="24">
        <f t="shared" si="84"/>
        <v>-30</v>
      </c>
      <c r="J864" s="24">
        <f t="shared" si="85"/>
        <v>14</v>
      </c>
      <c r="K864" s="17">
        <f t="shared" si="81"/>
        <v>-43</v>
      </c>
      <c r="M864" s="15">
        <f t="shared" ca="1" si="82"/>
        <v>0</v>
      </c>
      <c r="N864" s="15">
        <f t="shared" ca="1" si="83"/>
        <v>37652</v>
      </c>
      <c r="Z864" s="1"/>
    </row>
    <row r="865" spans="3:26" x14ac:dyDescent="0.2">
      <c r="C865" s="39"/>
      <c r="D865" s="39"/>
      <c r="E865" s="38">
        <f>[2]!expavg($T$9:$T$26,$R$9:$R$26,K865,H865)</f>
        <v>0.66945167850810816</v>
      </c>
      <c r="F865" s="38" t="str">
        <f>[2]!expavg2($T$9:$T$26,I865,J865,$R$9:$R$26)</f>
        <v>ERROR: Please use BegPeriod &gt;= 1.</v>
      </c>
      <c r="H865" s="2">
        <f t="shared" si="80"/>
        <v>12</v>
      </c>
      <c r="I865" s="24">
        <f t="shared" si="84"/>
        <v>-30</v>
      </c>
      <c r="J865" s="24">
        <f t="shared" si="85"/>
        <v>13</v>
      </c>
      <c r="K865" s="17">
        <f t="shared" si="81"/>
        <v>-42</v>
      </c>
      <c r="M865" s="15">
        <f t="shared" ca="1" si="82"/>
        <v>0</v>
      </c>
      <c r="N865" s="15">
        <f t="shared" ca="1" si="83"/>
        <v>38017</v>
      </c>
      <c r="Z865" s="1"/>
    </row>
    <row r="866" spans="3:26" x14ac:dyDescent="0.2">
      <c r="C866" s="39"/>
      <c r="D866" s="39"/>
      <c r="E866" s="38">
        <f>[2]!expavg($T$9:$T$26,$R$9:$R$26,K866,H866)</f>
        <v>0.67904388723605558</v>
      </c>
      <c r="F866" s="38" t="str">
        <f>[2]!expavg2($T$9:$T$26,I866,J866,$R$9:$R$26)</f>
        <v>ERROR: Please use BegPeriod &gt;= 1.</v>
      </c>
      <c r="H866" s="2">
        <f t="shared" si="80"/>
        <v>11</v>
      </c>
      <c r="I866" s="24">
        <f t="shared" si="84"/>
        <v>-30</v>
      </c>
      <c r="J866" s="24">
        <f t="shared" si="85"/>
        <v>12</v>
      </c>
      <c r="K866" s="17">
        <f t="shared" si="81"/>
        <v>-41</v>
      </c>
      <c r="M866" s="15">
        <f t="shared" ca="1" si="82"/>
        <v>0</v>
      </c>
      <c r="N866" s="15">
        <f t="shared" ca="1" si="83"/>
        <v>38383</v>
      </c>
      <c r="Z866" s="1"/>
    </row>
    <row r="867" spans="3:26" x14ac:dyDescent="0.2">
      <c r="C867" s="39"/>
      <c r="D867" s="39"/>
      <c r="E867" s="38">
        <f>[2]!expavg($T$9:$T$26,$R$9:$R$26,K867,H867)</f>
        <v>0.68957279758642287</v>
      </c>
      <c r="F867" s="38" t="str">
        <f>[2]!expavg2($T$9:$T$26,I867,J867,$R$9:$R$26)</f>
        <v>ERROR: Please use BegPeriod &gt;= 1.</v>
      </c>
      <c r="H867" s="2">
        <f t="shared" si="80"/>
        <v>10</v>
      </c>
      <c r="I867" s="24">
        <f t="shared" si="84"/>
        <v>-30</v>
      </c>
      <c r="J867" s="24">
        <f t="shared" si="85"/>
        <v>11</v>
      </c>
      <c r="K867" s="17">
        <f t="shared" si="81"/>
        <v>-40</v>
      </c>
      <c r="M867" s="15">
        <f t="shared" ca="1" si="82"/>
        <v>0</v>
      </c>
      <c r="N867" s="15">
        <f t="shared" ca="1" si="83"/>
        <v>38748</v>
      </c>
      <c r="Z867" s="1"/>
    </row>
    <row r="868" spans="3:26" x14ac:dyDescent="0.2">
      <c r="C868" s="39"/>
      <c r="D868" s="39"/>
      <c r="E868" s="38">
        <f>[2]!expavg($T$9:$T$26,$R$9:$R$26,K868,H868)</f>
        <v>0.67160897630855276</v>
      </c>
      <c r="F868" s="38" t="str">
        <f>[2]!expavg2($T$9:$T$26,I868,J868,$R$9:$R$26)</f>
        <v>ERROR: Please use BegPeriod &gt;= 1.</v>
      </c>
      <c r="H868" s="2">
        <f t="shared" si="80"/>
        <v>9</v>
      </c>
      <c r="I868" s="24">
        <f t="shared" si="84"/>
        <v>-30</v>
      </c>
      <c r="J868" s="24">
        <f t="shared" si="85"/>
        <v>10</v>
      </c>
      <c r="K868" s="17">
        <f t="shared" si="81"/>
        <v>-39</v>
      </c>
      <c r="M868" s="15">
        <f t="shared" ca="1" si="82"/>
        <v>0</v>
      </c>
      <c r="N868" s="15">
        <f t="shared" ca="1" si="83"/>
        <v>39113</v>
      </c>
      <c r="Z868" s="1"/>
    </row>
    <row r="869" spans="3:26" x14ac:dyDescent="0.2">
      <c r="C869" s="39"/>
      <c r="D869" s="39"/>
      <c r="E869" s="38">
        <f>[2]!expavg($T$9:$T$26,$R$9:$R$26,K869,H869)</f>
        <v>0.66527157980250695</v>
      </c>
      <c r="F869" s="38" t="str">
        <f>[2]!expavg2($T$9:$T$26,I869,J869,$R$9:$R$26)</f>
        <v>ERROR: Please use BegPeriod &gt;= 1.</v>
      </c>
      <c r="H869" s="2">
        <f t="shared" si="80"/>
        <v>8</v>
      </c>
      <c r="I869" s="24">
        <f t="shared" si="84"/>
        <v>-30</v>
      </c>
      <c r="J869" s="24">
        <f t="shared" si="85"/>
        <v>9</v>
      </c>
      <c r="K869" s="17">
        <f t="shared" si="81"/>
        <v>-38</v>
      </c>
      <c r="M869" s="15">
        <f t="shared" ca="1" si="82"/>
        <v>0</v>
      </c>
      <c r="N869" s="15">
        <f t="shared" ca="1" si="83"/>
        <v>39478</v>
      </c>
      <c r="Z869" s="1"/>
    </row>
    <row r="870" spans="3:26" x14ac:dyDescent="0.2">
      <c r="C870" s="39"/>
      <c r="D870" s="39"/>
      <c r="E870" s="38">
        <f>[2]!expavg($T$9:$T$26,$R$9:$R$26,K870,H870)</f>
        <v>0.68450987024306864</v>
      </c>
      <c r="F870" s="38" t="str">
        <f>[2]!expavg2($T$9:$T$26,I870,J870,$R$9:$R$26)</f>
        <v>ERROR: Please use BegPeriod &gt;= 1.</v>
      </c>
      <c r="H870" s="2">
        <f t="shared" si="80"/>
        <v>7</v>
      </c>
      <c r="I870" s="24">
        <f t="shared" si="84"/>
        <v>-30</v>
      </c>
      <c r="J870" s="24">
        <f t="shared" si="85"/>
        <v>8</v>
      </c>
      <c r="K870" s="17">
        <f t="shared" si="81"/>
        <v>-37</v>
      </c>
      <c r="M870" s="15">
        <f t="shared" ca="1" si="82"/>
        <v>0</v>
      </c>
      <c r="N870" s="15">
        <f t="shared" ca="1" si="83"/>
        <v>39844</v>
      </c>
      <c r="Z870" s="1"/>
    </row>
    <row r="871" spans="3:26" x14ac:dyDescent="0.2">
      <c r="C871" s="39"/>
      <c r="D871" s="39"/>
      <c r="E871" s="38">
        <f>[2]!expavg($T$9:$T$26,$R$9:$R$26,K871,H871)</f>
        <v>0.67627397338659268</v>
      </c>
      <c r="F871" s="38" t="str">
        <f>[2]!expavg2($T$9:$T$26,I871,J871,$R$9:$R$26)</f>
        <v>ERROR: Please use BegPeriod &gt;= 1.</v>
      </c>
      <c r="H871" s="2">
        <f t="shared" si="80"/>
        <v>6</v>
      </c>
      <c r="I871" s="24">
        <f t="shared" si="84"/>
        <v>-30</v>
      </c>
      <c r="J871" s="24">
        <f t="shared" si="85"/>
        <v>7</v>
      </c>
      <c r="K871" s="17">
        <f t="shared" si="81"/>
        <v>-36</v>
      </c>
      <c r="M871" s="15">
        <f t="shared" ca="1" si="82"/>
        <v>0</v>
      </c>
      <c r="N871" s="15">
        <f t="shared" ca="1" si="83"/>
        <v>40209</v>
      </c>
      <c r="Z871" s="1"/>
    </row>
    <row r="872" spans="3:26" x14ac:dyDescent="0.2">
      <c r="C872" s="39"/>
      <c r="D872" s="39"/>
      <c r="E872" s="38">
        <f>[2]!expavg($T$9:$T$26,$R$9:$R$26,K872,H872)</f>
        <v>0.66006899259190965</v>
      </c>
      <c r="F872" s="38" t="str">
        <f>[2]!expavg2($T$9:$T$26,I872,J872,$R$9:$R$26)</f>
        <v>ERROR: Please use BegPeriod &gt;= 1.</v>
      </c>
      <c r="H872" s="2">
        <f t="shared" si="80"/>
        <v>5</v>
      </c>
      <c r="I872" s="24">
        <f t="shared" si="84"/>
        <v>-30</v>
      </c>
      <c r="J872" s="24">
        <f t="shared" si="85"/>
        <v>6</v>
      </c>
      <c r="K872" s="17">
        <f t="shared" si="81"/>
        <v>-35</v>
      </c>
      <c r="M872" s="15">
        <f t="shared" ca="1" si="82"/>
        <v>0</v>
      </c>
      <c r="N872" s="15">
        <f t="shared" ca="1" si="83"/>
        <v>40574</v>
      </c>
      <c r="Z872" s="1"/>
    </row>
    <row r="873" spans="3:26" x14ac:dyDescent="0.2">
      <c r="C873" s="39"/>
      <c r="D873" s="39"/>
      <c r="E873" s="38">
        <f>[2]!expavg($T$9:$T$26,$R$9:$R$26,K873,H873)</f>
        <v>0.64048216018789683</v>
      </c>
      <c r="F873" s="38" t="str">
        <f>[2]!expavg2($T$9:$T$26,I873,J873,$R$9:$R$26)</f>
        <v>ERROR: Please use BegPeriod &gt;= 1.</v>
      </c>
      <c r="H873" s="2">
        <f t="shared" si="80"/>
        <v>4</v>
      </c>
      <c r="I873" s="24">
        <f t="shared" si="84"/>
        <v>-30</v>
      </c>
      <c r="J873" s="24">
        <f t="shared" si="85"/>
        <v>5</v>
      </c>
      <c r="K873" s="17">
        <f t="shared" si="81"/>
        <v>-34</v>
      </c>
      <c r="M873" s="15">
        <f t="shared" ca="1" si="82"/>
        <v>0</v>
      </c>
      <c r="N873" s="15">
        <f t="shared" ca="1" si="83"/>
        <v>40939</v>
      </c>
      <c r="Z873" s="1"/>
    </row>
    <row r="874" spans="3:26" x14ac:dyDescent="0.2">
      <c r="C874" s="39"/>
      <c r="D874" s="39"/>
      <c r="E874" s="38">
        <f>[2]!expavg($T$9:$T$26,$R$9:$R$26,K874,H874)</f>
        <v>0.62815488340610859</v>
      </c>
      <c r="F874" s="38" t="str">
        <f>[2]!expavg2($T$9:$T$26,I874,J874,$R$9:$R$26)</f>
        <v>ERROR: Please use BegPeriod &gt;= 1.</v>
      </c>
      <c r="H874" s="2">
        <f t="shared" si="80"/>
        <v>3</v>
      </c>
      <c r="I874" s="24">
        <f t="shared" si="84"/>
        <v>-30</v>
      </c>
      <c r="J874" s="24">
        <f t="shared" si="85"/>
        <v>4</v>
      </c>
      <c r="K874" s="17">
        <f t="shared" si="81"/>
        <v>-33</v>
      </c>
      <c r="M874" s="15">
        <f t="shared" ca="1" si="82"/>
        <v>0</v>
      </c>
      <c r="N874" s="15">
        <f t="shared" ca="1" si="83"/>
        <v>41305</v>
      </c>
      <c r="Z874" s="1"/>
    </row>
    <row r="875" spans="3:26" x14ac:dyDescent="0.2">
      <c r="C875" s="39"/>
      <c r="D875" s="39"/>
      <c r="E875" s="38">
        <f>[2]!expavg($T$9:$T$26,$R$9:$R$26,K875,H875)</f>
        <v>0.62040838094689943</v>
      </c>
      <c r="F875" s="38" t="str">
        <f>[2]!expavg2($T$9:$T$26,I875,J875,$R$9:$R$26)</f>
        <v>ERROR: Please use BegPeriod &gt;= 1.</v>
      </c>
      <c r="H875" s="2">
        <f t="shared" si="80"/>
        <v>2</v>
      </c>
      <c r="I875" s="24">
        <f t="shared" si="84"/>
        <v>-30</v>
      </c>
      <c r="J875" s="24">
        <f t="shared" si="85"/>
        <v>3</v>
      </c>
      <c r="K875" s="17">
        <f t="shared" si="81"/>
        <v>-32</v>
      </c>
      <c r="M875" s="15">
        <f t="shared" ca="1" si="82"/>
        <v>0</v>
      </c>
      <c r="N875" s="15">
        <f t="shared" ca="1" si="83"/>
        <v>41670</v>
      </c>
      <c r="Z875" s="1"/>
    </row>
    <row r="876" spans="3:26" x14ac:dyDescent="0.2">
      <c r="C876" s="39"/>
      <c r="D876" s="39"/>
      <c r="E876" s="38">
        <f>[2]!expavg($T$9:$T$26,$R$9:$R$26,K876,H876)</f>
        <v>0.60752408974439076</v>
      </c>
      <c r="F876" s="38" t="str">
        <f>[2]!expavg2($T$9:$T$26,I876,J876,$R$9:$R$26)</f>
        <v>ERROR: Please use BegPeriod &gt;= 1.</v>
      </c>
      <c r="H876" s="2">
        <f t="shared" si="80"/>
        <v>1</v>
      </c>
      <c r="I876" s="24">
        <f t="shared" si="84"/>
        <v>-30</v>
      </c>
      <c r="J876" s="24">
        <f t="shared" si="85"/>
        <v>2</v>
      </c>
      <c r="K876" s="17">
        <f t="shared" si="81"/>
        <v>-31</v>
      </c>
      <c r="M876" s="15">
        <f t="shared" ca="1" si="82"/>
        <v>0</v>
      </c>
      <c r="N876" s="15">
        <f t="shared" ca="1" si="83"/>
        <v>42035</v>
      </c>
      <c r="Z876" s="1"/>
    </row>
    <row r="877" spans="3:26" x14ac:dyDescent="0.2">
      <c r="C877" s="39"/>
      <c r="D877" s="39"/>
      <c r="E877" s="38">
        <f>[2]!expavg($T$9:$T$26,$R$9:$R$26,K877,H877)</f>
        <v>0.60472044954610527</v>
      </c>
      <c r="F877" s="38" t="str">
        <f>[2]!expavg2($T$9:$T$26,I877,J877,$R$9:$R$26)</f>
        <v>ERROR: Please use BegPeriod &gt;= 1.</v>
      </c>
      <c r="H877" s="2">
        <f t="shared" si="80"/>
        <v>0</v>
      </c>
      <c r="I877" s="24">
        <f t="shared" si="84"/>
        <v>-30</v>
      </c>
      <c r="J877" s="24">
        <f t="shared" si="85"/>
        <v>1</v>
      </c>
      <c r="K877" s="17">
        <f t="shared" si="81"/>
        <v>-30</v>
      </c>
      <c r="M877" s="15">
        <f t="shared" ca="1" si="82"/>
        <v>0</v>
      </c>
      <c r="N877" s="15">
        <f t="shared" ca="1" si="83"/>
        <v>42400</v>
      </c>
      <c r="Z877" s="1"/>
    </row>
    <row r="878" spans="3:26" x14ac:dyDescent="0.2">
      <c r="C878" s="39"/>
      <c r="D878" s="39"/>
      <c r="E878" s="38">
        <f>[2]!expavg($T$9:$T$26,$R$9:$R$26,K878,H878)</f>
        <v>0.60472044954610527</v>
      </c>
      <c r="F878" s="38" t="str">
        <f>[2]!expavg2($T$9:$T$26,I878,J878,$R$9:$R$26)</f>
        <v>ERROR: Please use BegPeriod &gt;= 1.</v>
      </c>
      <c r="H878" s="2">
        <f t="shared" si="80"/>
        <v>-1</v>
      </c>
      <c r="I878" s="24">
        <f t="shared" si="84"/>
        <v>-30</v>
      </c>
      <c r="J878" s="24">
        <f t="shared" si="85"/>
        <v>0</v>
      </c>
      <c r="K878" s="17">
        <f t="shared" si="81"/>
        <v>-29</v>
      </c>
      <c r="M878" s="15">
        <f t="shared" ca="1" si="82"/>
        <v>0</v>
      </c>
      <c r="N878" s="15">
        <f t="shared" ca="1" si="83"/>
        <v>0</v>
      </c>
      <c r="Z878" s="1"/>
    </row>
    <row r="879" spans="3:26" x14ac:dyDescent="0.2">
      <c r="C879" s="39"/>
      <c r="D879" s="39"/>
      <c r="E879" s="38">
        <f>[2]!expavg($T$9:$T$26,$R$9:$R$26,K879,H879)</f>
        <v>0.60472044954610527</v>
      </c>
      <c r="F879" s="38" t="str">
        <f>[2]!expavg2($T$9:$T$26,I879,J879,$R$9:$R$26)</f>
        <v>ERROR: Please use BegPeriod &gt;= 1.</v>
      </c>
      <c r="H879" s="2">
        <f t="shared" si="80"/>
        <v>-2</v>
      </c>
      <c r="I879" s="24">
        <f t="shared" si="84"/>
        <v>-30</v>
      </c>
      <c r="J879" s="24">
        <f t="shared" si="85"/>
        <v>-1</v>
      </c>
      <c r="K879" s="17">
        <f t="shared" si="81"/>
        <v>-28</v>
      </c>
      <c r="M879" s="15">
        <f t="shared" ca="1" si="82"/>
        <v>0</v>
      </c>
      <c r="N879" s="15">
        <f t="shared" ca="1" si="83"/>
        <v>0</v>
      </c>
      <c r="Z879" s="1"/>
    </row>
    <row r="880" spans="3:26" x14ac:dyDescent="0.2">
      <c r="C880" s="39"/>
      <c r="D880" s="39"/>
      <c r="E880" s="38">
        <f>[2]!expavg($T$9:$T$26,$R$9:$R$26,K880,H880)</f>
        <v>0.70939186407915755</v>
      </c>
      <c r="F880" s="38" t="str">
        <f>[2]!expavg2($T$9:$T$26,I880,J880,$R$9:$R$26)</f>
        <v>ERROR: Please use BegPeriod &gt;= 1.</v>
      </c>
      <c r="H880" s="2">
        <f t="shared" ref="H880:H943" si="86">J880-1</f>
        <v>14</v>
      </c>
      <c r="I880" s="24">
        <f t="shared" si="84"/>
        <v>-31</v>
      </c>
      <c r="J880" s="24">
        <f t="shared" si="85"/>
        <v>15</v>
      </c>
      <c r="K880" s="17">
        <f t="shared" ref="K880:K943" si="87">I880-J880+1</f>
        <v>-45</v>
      </c>
      <c r="M880" s="15">
        <f t="shared" ref="M880:M943" ca="1" si="88">OFFSET($P$27,-I880,0)</f>
        <v>0</v>
      </c>
      <c r="N880" s="15">
        <f t="shared" ref="N880:N943" ca="1" si="89">OFFSET($P$27,-J880,0)</f>
        <v>37287</v>
      </c>
      <c r="Z880" s="1"/>
    </row>
    <row r="881" spans="3:26" x14ac:dyDescent="0.2">
      <c r="C881" s="39"/>
      <c r="D881" s="39"/>
      <c r="E881" s="38">
        <f>[2]!expavg($T$9:$T$26,$R$9:$R$26,K881,H881)</f>
        <v>0.67177139323204882</v>
      </c>
      <c r="F881" s="38" t="str">
        <f>[2]!expavg2($T$9:$T$26,I881,J881,$R$9:$R$26)</f>
        <v>ERROR: Please use BegPeriod &gt;= 1.</v>
      </c>
      <c r="H881" s="2">
        <f t="shared" si="86"/>
        <v>13</v>
      </c>
      <c r="I881" s="24">
        <f t="shared" si="84"/>
        <v>-31</v>
      </c>
      <c r="J881" s="24">
        <f t="shared" si="85"/>
        <v>14</v>
      </c>
      <c r="K881" s="17">
        <f t="shared" si="87"/>
        <v>-44</v>
      </c>
      <c r="M881" s="15">
        <f t="shared" ca="1" si="88"/>
        <v>0</v>
      </c>
      <c r="N881" s="15">
        <f t="shared" ca="1" si="89"/>
        <v>37652</v>
      </c>
      <c r="Z881" s="1"/>
    </row>
    <row r="882" spans="3:26" x14ac:dyDescent="0.2">
      <c r="C882" s="39"/>
      <c r="D882" s="39"/>
      <c r="E882" s="38">
        <f>[2]!expavg($T$9:$T$26,$R$9:$R$26,K882,H882)</f>
        <v>0.66945167850810816</v>
      </c>
      <c r="F882" s="38" t="str">
        <f>[2]!expavg2($T$9:$T$26,I882,J882,$R$9:$R$26)</f>
        <v>ERROR: Please use BegPeriod &gt;= 1.</v>
      </c>
      <c r="H882" s="2">
        <f t="shared" si="86"/>
        <v>12</v>
      </c>
      <c r="I882" s="24">
        <f t="shared" si="84"/>
        <v>-31</v>
      </c>
      <c r="J882" s="24">
        <f t="shared" si="85"/>
        <v>13</v>
      </c>
      <c r="K882" s="17">
        <f t="shared" si="87"/>
        <v>-43</v>
      </c>
      <c r="M882" s="15">
        <f t="shared" ca="1" si="88"/>
        <v>0</v>
      </c>
      <c r="N882" s="15">
        <f t="shared" ca="1" si="89"/>
        <v>38017</v>
      </c>
      <c r="Z882" s="1"/>
    </row>
    <row r="883" spans="3:26" x14ac:dyDescent="0.2">
      <c r="C883" s="39"/>
      <c r="D883" s="39"/>
      <c r="E883" s="38">
        <f>[2]!expavg($T$9:$T$26,$R$9:$R$26,K883,H883)</f>
        <v>0.67904388723605558</v>
      </c>
      <c r="F883" s="38" t="str">
        <f>[2]!expavg2($T$9:$T$26,I883,J883,$R$9:$R$26)</f>
        <v>ERROR: Please use BegPeriod &gt;= 1.</v>
      </c>
      <c r="H883" s="2">
        <f t="shared" si="86"/>
        <v>11</v>
      </c>
      <c r="I883" s="24">
        <f t="shared" si="84"/>
        <v>-31</v>
      </c>
      <c r="J883" s="24">
        <f t="shared" si="85"/>
        <v>12</v>
      </c>
      <c r="K883" s="17">
        <f t="shared" si="87"/>
        <v>-42</v>
      </c>
      <c r="M883" s="15">
        <f t="shared" ca="1" si="88"/>
        <v>0</v>
      </c>
      <c r="N883" s="15">
        <f t="shared" ca="1" si="89"/>
        <v>38383</v>
      </c>
      <c r="Z883" s="1"/>
    </row>
    <row r="884" spans="3:26" x14ac:dyDescent="0.2">
      <c r="C884" s="39"/>
      <c r="D884" s="39"/>
      <c r="E884" s="38">
        <f>[2]!expavg($T$9:$T$26,$R$9:$R$26,K884,H884)</f>
        <v>0.68957279758642287</v>
      </c>
      <c r="F884" s="38" t="str">
        <f>[2]!expavg2($T$9:$T$26,I884,J884,$R$9:$R$26)</f>
        <v>ERROR: Please use BegPeriod &gt;= 1.</v>
      </c>
      <c r="H884" s="2">
        <f t="shared" si="86"/>
        <v>10</v>
      </c>
      <c r="I884" s="24">
        <f t="shared" ref="I884:I947" si="90">I867-1</f>
        <v>-31</v>
      </c>
      <c r="J884" s="24">
        <f t="shared" ref="J884:J947" si="91">J867</f>
        <v>11</v>
      </c>
      <c r="K884" s="17">
        <f t="shared" si="87"/>
        <v>-41</v>
      </c>
      <c r="M884" s="15">
        <f t="shared" ca="1" si="88"/>
        <v>0</v>
      </c>
      <c r="N884" s="15">
        <f t="shared" ca="1" si="89"/>
        <v>38748</v>
      </c>
      <c r="Z884" s="1"/>
    </row>
    <row r="885" spans="3:26" x14ac:dyDescent="0.2">
      <c r="C885" s="39"/>
      <c r="D885" s="39"/>
      <c r="E885" s="38">
        <f>[2]!expavg($T$9:$T$26,$R$9:$R$26,K885,H885)</f>
        <v>0.67160897630855276</v>
      </c>
      <c r="F885" s="38" t="str">
        <f>[2]!expavg2($T$9:$T$26,I885,J885,$R$9:$R$26)</f>
        <v>ERROR: Please use BegPeriod &gt;= 1.</v>
      </c>
      <c r="H885" s="2">
        <f t="shared" si="86"/>
        <v>9</v>
      </c>
      <c r="I885" s="24">
        <f t="shared" si="90"/>
        <v>-31</v>
      </c>
      <c r="J885" s="24">
        <f t="shared" si="91"/>
        <v>10</v>
      </c>
      <c r="K885" s="17">
        <f t="shared" si="87"/>
        <v>-40</v>
      </c>
      <c r="M885" s="15">
        <f t="shared" ca="1" si="88"/>
        <v>0</v>
      </c>
      <c r="N885" s="15">
        <f t="shared" ca="1" si="89"/>
        <v>39113</v>
      </c>
      <c r="Z885" s="1"/>
    </row>
    <row r="886" spans="3:26" x14ac:dyDescent="0.2">
      <c r="C886" s="39"/>
      <c r="D886" s="39"/>
      <c r="E886" s="38">
        <f>[2]!expavg($T$9:$T$26,$R$9:$R$26,K886,H886)</f>
        <v>0.66527157980250695</v>
      </c>
      <c r="F886" s="38" t="str">
        <f>[2]!expavg2($T$9:$T$26,I886,J886,$R$9:$R$26)</f>
        <v>ERROR: Please use BegPeriod &gt;= 1.</v>
      </c>
      <c r="H886" s="2">
        <f t="shared" si="86"/>
        <v>8</v>
      </c>
      <c r="I886" s="24">
        <f t="shared" si="90"/>
        <v>-31</v>
      </c>
      <c r="J886" s="24">
        <f t="shared" si="91"/>
        <v>9</v>
      </c>
      <c r="K886" s="17">
        <f t="shared" si="87"/>
        <v>-39</v>
      </c>
      <c r="M886" s="15">
        <f t="shared" ca="1" si="88"/>
        <v>0</v>
      </c>
      <c r="N886" s="15">
        <f t="shared" ca="1" si="89"/>
        <v>39478</v>
      </c>
      <c r="Z886" s="1"/>
    </row>
    <row r="887" spans="3:26" x14ac:dyDescent="0.2">
      <c r="C887" s="39"/>
      <c r="D887" s="39"/>
      <c r="E887" s="38">
        <f>[2]!expavg($T$9:$T$26,$R$9:$R$26,K887,H887)</f>
        <v>0.68450987024306864</v>
      </c>
      <c r="F887" s="38" t="str">
        <f>[2]!expavg2($T$9:$T$26,I887,J887,$R$9:$R$26)</f>
        <v>ERROR: Please use BegPeriod &gt;= 1.</v>
      </c>
      <c r="H887" s="2">
        <f t="shared" si="86"/>
        <v>7</v>
      </c>
      <c r="I887" s="24">
        <f t="shared" si="90"/>
        <v>-31</v>
      </c>
      <c r="J887" s="24">
        <f t="shared" si="91"/>
        <v>8</v>
      </c>
      <c r="K887" s="17">
        <f t="shared" si="87"/>
        <v>-38</v>
      </c>
      <c r="M887" s="15">
        <f t="shared" ca="1" si="88"/>
        <v>0</v>
      </c>
      <c r="N887" s="15">
        <f t="shared" ca="1" si="89"/>
        <v>39844</v>
      </c>
      <c r="Z887" s="1"/>
    </row>
    <row r="888" spans="3:26" x14ac:dyDescent="0.2">
      <c r="C888" s="39"/>
      <c r="D888" s="39"/>
      <c r="E888" s="38">
        <f>[2]!expavg($T$9:$T$26,$R$9:$R$26,K888,H888)</f>
        <v>0.67627397338659268</v>
      </c>
      <c r="F888" s="38" t="str">
        <f>[2]!expavg2($T$9:$T$26,I888,J888,$R$9:$R$26)</f>
        <v>ERROR: Please use BegPeriod &gt;= 1.</v>
      </c>
      <c r="H888" s="2">
        <f t="shared" si="86"/>
        <v>6</v>
      </c>
      <c r="I888" s="24">
        <f t="shared" si="90"/>
        <v>-31</v>
      </c>
      <c r="J888" s="24">
        <f t="shared" si="91"/>
        <v>7</v>
      </c>
      <c r="K888" s="17">
        <f t="shared" si="87"/>
        <v>-37</v>
      </c>
      <c r="M888" s="15">
        <f t="shared" ca="1" si="88"/>
        <v>0</v>
      </c>
      <c r="N888" s="15">
        <f t="shared" ca="1" si="89"/>
        <v>40209</v>
      </c>
      <c r="Z888" s="1"/>
    </row>
    <row r="889" spans="3:26" x14ac:dyDescent="0.2">
      <c r="C889" s="39"/>
      <c r="D889" s="39"/>
      <c r="E889" s="38">
        <f>[2]!expavg($T$9:$T$26,$R$9:$R$26,K889,H889)</f>
        <v>0.66006899259190965</v>
      </c>
      <c r="F889" s="38" t="str">
        <f>[2]!expavg2($T$9:$T$26,I889,J889,$R$9:$R$26)</f>
        <v>ERROR: Please use BegPeriod &gt;= 1.</v>
      </c>
      <c r="H889" s="2">
        <f t="shared" si="86"/>
        <v>5</v>
      </c>
      <c r="I889" s="24">
        <f t="shared" si="90"/>
        <v>-31</v>
      </c>
      <c r="J889" s="24">
        <f t="shared" si="91"/>
        <v>6</v>
      </c>
      <c r="K889" s="17">
        <f t="shared" si="87"/>
        <v>-36</v>
      </c>
      <c r="M889" s="15">
        <f t="shared" ca="1" si="88"/>
        <v>0</v>
      </c>
      <c r="N889" s="15">
        <f t="shared" ca="1" si="89"/>
        <v>40574</v>
      </c>
      <c r="Z889" s="1"/>
    </row>
    <row r="890" spans="3:26" x14ac:dyDescent="0.2">
      <c r="C890" s="39"/>
      <c r="D890" s="39"/>
      <c r="E890" s="38">
        <f>[2]!expavg($T$9:$T$26,$R$9:$R$26,K890,H890)</f>
        <v>0.64048216018789683</v>
      </c>
      <c r="F890" s="38" t="str">
        <f>[2]!expavg2($T$9:$T$26,I890,J890,$R$9:$R$26)</f>
        <v>ERROR: Please use BegPeriod &gt;= 1.</v>
      </c>
      <c r="H890" s="2">
        <f t="shared" si="86"/>
        <v>4</v>
      </c>
      <c r="I890" s="24">
        <f t="shared" si="90"/>
        <v>-31</v>
      </c>
      <c r="J890" s="24">
        <f t="shared" si="91"/>
        <v>5</v>
      </c>
      <c r="K890" s="17">
        <f t="shared" si="87"/>
        <v>-35</v>
      </c>
      <c r="M890" s="15">
        <f t="shared" ca="1" si="88"/>
        <v>0</v>
      </c>
      <c r="N890" s="15">
        <f t="shared" ca="1" si="89"/>
        <v>40939</v>
      </c>
      <c r="Z890" s="1"/>
    </row>
    <row r="891" spans="3:26" x14ac:dyDescent="0.2">
      <c r="C891" s="39"/>
      <c r="D891" s="39"/>
      <c r="E891" s="38">
        <f>[2]!expavg($T$9:$T$26,$R$9:$R$26,K891,H891)</f>
        <v>0.62815488340610859</v>
      </c>
      <c r="F891" s="38" t="str">
        <f>[2]!expavg2($T$9:$T$26,I891,J891,$R$9:$R$26)</f>
        <v>ERROR: Please use BegPeriod &gt;= 1.</v>
      </c>
      <c r="H891" s="2">
        <f t="shared" si="86"/>
        <v>3</v>
      </c>
      <c r="I891" s="24">
        <f t="shared" si="90"/>
        <v>-31</v>
      </c>
      <c r="J891" s="24">
        <f t="shared" si="91"/>
        <v>4</v>
      </c>
      <c r="K891" s="17">
        <f t="shared" si="87"/>
        <v>-34</v>
      </c>
      <c r="M891" s="15">
        <f t="shared" ca="1" si="88"/>
        <v>0</v>
      </c>
      <c r="N891" s="15">
        <f t="shared" ca="1" si="89"/>
        <v>41305</v>
      </c>
      <c r="Z891" s="1"/>
    </row>
    <row r="892" spans="3:26" x14ac:dyDescent="0.2">
      <c r="C892" s="39"/>
      <c r="D892" s="39"/>
      <c r="E892" s="38">
        <f>[2]!expavg($T$9:$T$26,$R$9:$R$26,K892,H892)</f>
        <v>0.62040838094689943</v>
      </c>
      <c r="F892" s="38" t="str">
        <f>[2]!expavg2($T$9:$T$26,I892,J892,$R$9:$R$26)</f>
        <v>ERROR: Please use BegPeriod &gt;= 1.</v>
      </c>
      <c r="H892" s="2">
        <f t="shared" si="86"/>
        <v>2</v>
      </c>
      <c r="I892" s="24">
        <f t="shared" si="90"/>
        <v>-31</v>
      </c>
      <c r="J892" s="24">
        <f t="shared" si="91"/>
        <v>3</v>
      </c>
      <c r="K892" s="17">
        <f t="shared" si="87"/>
        <v>-33</v>
      </c>
      <c r="M892" s="15">
        <f t="shared" ca="1" si="88"/>
        <v>0</v>
      </c>
      <c r="N892" s="15">
        <f t="shared" ca="1" si="89"/>
        <v>41670</v>
      </c>
      <c r="Z892" s="1"/>
    </row>
    <row r="893" spans="3:26" x14ac:dyDescent="0.2">
      <c r="C893" s="39"/>
      <c r="D893" s="39"/>
      <c r="E893" s="38">
        <f>[2]!expavg($T$9:$T$26,$R$9:$R$26,K893,H893)</f>
        <v>0.60752408974439076</v>
      </c>
      <c r="F893" s="38" t="str">
        <f>[2]!expavg2($T$9:$T$26,I893,J893,$R$9:$R$26)</f>
        <v>ERROR: Please use BegPeriod &gt;= 1.</v>
      </c>
      <c r="H893" s="2">
        <f t="shared" si="86"/>
        <v>1</v>
      </c>
      <c r="I893" s="24">
        <f t="shared" si="90"/>
        <v>-31</v>
      </c>
      <c r="J893" s="24">
        <f t="shared" si="91"/>
        <v>2</v>
      </c>
      <c r="K893" s="17">
        <f t="shared" si="87"/>
        <v>-32</v>
      </c>
      <c r="M893" s="15">
        <f t="shared" ca="1" si="88"/>
        <v>0</v>
      </c>
      <c r="N893" s="15">
        <f t="shared" ca="1" si="89"/>
        <v>42035</v>
      </c>
      <c r="Z893" s="1"/>
    </row>
    <row r="894" spans="3:26" x14ac:dyDescent="0.2">
      <c r="C894" s="39"/>
      <c r="D894" s="39"/>
      <c r="E894" s="38">
        <f>[2]!expavg($T$9:$T$26,$R$9:$R$26,K894,H894)</f>
        <v>0.60472044954610527</v>
      </c>
      <c r="F894" s="38" t="str">
        <f>[2]!expavg2($T$9:$T$26,I894,J894,$R$9:$R$26)</f>
        <v>ERROR: Please use BegPeriod &gt;= 1.</v>
      </c>
      <c r="H894" s="2">
        <f t="shared" si="86"/>
        <v>0</v>
      </c>
      <c r="I894" s="24">
        <f t="shared" si="90"/>
        <v>-31</v>
      </c>
      <c r="J894" s="24">
        <f t="shared" si="91"/>
        <v>1</v>
      </c>
      <c r="K894" s="17">
        <f t="shared" si="87"/>
        <v>-31</v>
      </c>
      <c r="M894" s="15">
        <f t="shared" ca="1" si="88"/>
        <v>0</v>
      </c>
      <c r="N894" s="15">
        <f t="shared" ca="1" si="89"/>
        <v>42400</v>
      </c>
      <c r="Z894" s="1"/>
    </row>
    <row r="895" spans="3:26" x14ac:dyDescent="0.2">
      <c r="C895" s="39"/>
      <c r="D895" s="39"/>
      <c r="E895" s="38">
        <f>[2]!expavg($T$9:$T$26,$R$9:$R$26,K895,H895)</f>
        <v>0.60472044954610527</v>
      </c>
      <c r="F895" s="38" t="str">
        <f>[2]!expavg2($T$9:$T$26,I895,J895,$R$9:$R$26)</f>
        <v>ERROR: Please use BegPeriod &gt;= 1.</v>
      </c>
      <c r="H895" s="2">
        <f t="shared" si="86"/>
        <v>-1</v>
      </c>
      <c r="I895" s="24">
        <f t="shared" si="90"/>
        <v>-31</v>
      </c>
      <c r="J895" s="24">
        <f t="shared" si="91"/>
        <v>0</v>
      </c>
      <c r="K895" s="17">
        <f t="shared" si="87"/>
        <v>-30</v>
      </c>
      <c r="M895" s="15">
        <f t="shared" ca="1" si="88"/>
        <v>0</v>
      </c>
      <c r="N895" s="15">
        <f t="shared" ca="1" si="89"/>
        <v>0</v>
      </c>
      <c r="Z895" s="1"/>
    </row>
    <row r="896" spans="3:26" x14ac:dyDescent="0.2">
      <c r="C896" s="39"/>
      <c r="D896" s="39"/>
      <c r="E896" s="38">
        <f>[2]!expavg($T$9:$T$26,$R$9:$R$26,K896,H896)</f>
        <v>0.60472044954610527</v>
      </c>
      <c r="F896" s="38" t="str">
        <f>[2]!expavg2($T$9:$T$26,I896,J896,$R$9:$R$26)</f>
        <v>ERROR: Please use BegPeriod &gt;= 1.</v>
      </c>
      <c r="H896" s="2">
        <f t="shared" si="86"/>
        <v>-2</v>
      </c>
      <c r="I896" s="24">
        <f t="shared" si="90"/>
        <v>-31</v>
      </c>
      <c r="J896" s="24">
        <f t="shared" si="91"/>
        <v>-1</v>
      </c>
      <c r="K896" s="17">
        <f t="shared" si="87"/>
        <v>-29</v>
      </c>
      <c r="M896" s="15">
        <f t="shared" ca="1" si="88"/>
        <v>0</v>
      </c>
      <c r="N896" s="15">
        <f t="shared" ca="1" si="89"/>
        <v>0</v>
      </c>
      <c r="Z896" s="1"/>
    </row>
    <row r="897" spans="3:26" x14ac:dyDescent="0.2">
      <c r="C897" s="39"/>
      <c r="D897" s="39"/>
      <c r="E897" s="38">
        <f>[2]!expavg($T$9:$T$26,$R$9:$R$26,K897,H897)</f>
        <v>0.70939186407915755</v>
      </c>
      <c r="F897" s="38" t="str">
        <f>[2]!expavg2($T$9:$T$26,I897,J897,$R$9:$R$26)</f>
        <v>ERROR: Please use BegPeriod &gt;= 1.</v>
      </c>
      <c r="H897" s="2">
        <f t="shared" si="86"/>
        <v>14</v>
      </c>
      <c r="I897" s="24">
        <f t="shared" si="90"/>
        <v>-32</v>
      </c>
      <c r="J897" s="24">
        <f t="shared" si="91"/>
        <v>15</v>
      </c>
      <c r="K897" s="17">
        <f t="shared" si="87"/>
        <v>-46</v>
      </c>
      <c r="M897" s="15">
        <f t="shared" ca="1" si="88"/>
        <v>0</v>
      </c>
      <c r="N897" s="15">
        <f t="shared" ca="1" si="89"/>
        <v>37287</v>
      </c>
      <c r="Z897" s="1"/>
    </row>
    <row r="898" spans="3:26" x14ac:dyDescent="0.2">
      <c r="C898" s="39"/>
      <c r="D898" s="39"/>
      <c r="E898" s="38">
        <f>[2]!expavg($T$9:$T$26,$R$9:$R$26,K898,H898)</f>
        <v>0.67177139323204882</v>
      </c>
      <c r="F898" s="38" t="str">
        <f>[2]!expavg2($T$9:$T$26,I898,J898,$R$9:$R$26)</f>
        <v>ERROR: Please use BegPeriod &gt;= 1.</v>
      </c>
      <c r="H898" s="2">
        <f t="shared" si="86"/>
        <v>13</v>
      </c>
      <c r="I898" s="24">
        <f t="shared" si="90"/>
        <v>-32</v>
      </c>
      <c r="J898" s="24">
        <f t="shared" si="91"/>
        <v>14</v>
      </c>
      <c r="K898" s="17">
        <f t="shared" si="87"/>
        <v>-45</v>
      </c>
      <c r="M898" s="15">
        <f t="shared" ca="1" si="88"/>
        <v>0</v>
      </c>
      <c r="N898" s="15">
        <f t="shared" ca="1" si="89"/>
        <v>37652</v>
      </c>
      <c r="Z898" s="1"/>
    </row>
    <row r="899" spans="3:26" x14ac:dyDescent="0.2">
      <c r="C899" s="39"/>
      <c r="D899" s="39"/>
      <c r="E899" s="38">
        <f>[2]!expavg($T$9:$T$26,$R$9:$R$26,K899,H899)</f>
        <v>0.66945167850810816</v>
      </c>
      <c r="F899" s="38" t="str">
        <f>[2]!expavg2($T$9:$T$26,I899,J899,$R$9:$R$26)</f>
        <v>ERROR: Please use BegPeriod &gt;= 1.</v>
      </c>
      <c r="H899" s="2">
        <f t="shared" si="86"/>
        <v>12</v>
      </c>
      <c r="I899" s="24">
        <f t="shared" si="90"/>
        <v>-32</v>
      </c>
      <c r="J899" s="24">
        <f t="shared" si="91"/>
        <v>13</v>
      </c>
      <c r="K899" s="17">
        <f t="shared" si="87"/>
        <v>-44</v>
      </c>
      <c r="M899" s="15">
        <f t="shared" ca="1" si="88"/>
        <v>0</v>
      </c>
      <c r="N899" s="15">
        <f t="shared" ca="1" si="89"/>
        <v>38017</v>
      </c>
      <c r="Z899" s="1"/>
    </row>
    <row r="900" spans="3:26" x14ac:dyDescent="0.2">
      <c r="C900" s="39"/>
      <c r="D900" s="39"/>
      <c r="E900" s="38">
        <f>[2]!expavg($T$9:$T$26,$R$9:$R$26,K900,H900)</f>
        <v>0.67904388723605558</v>
      </c>
      <c r="F900" s="38" t="str">
        <f>[2]!expavg2($T$9:$T$26,I900,J900,$R$9:$R$26)</f>
        <v>ERROR: Please use BegPeriod &gt;= 1.</v>
      </c>
      <c r="H900" s="2">
        <f t="shared" si="86"/>
        <v>11</v>
      </c>
      <c r="I900" s="24">
        <f t="shared" si="90"/>
        <v>-32</v>
      </c>
      <c r="J900" s="24">
        <f t="shared" si="91"/>
        <v>12</v>
      </c>
      <c r="K900" s="17">
        <f t="shared" si="87"/>
        <v>-43</v>
      </c>
      <c r="M900" s="15">
        <f t="shared" ca="1" si="88"/>
        <v>0</v>
      </c>
      <c r="N900" s="15">
        <f t="shared" ca="1" si="89"/>
        <v>38383</v>
      </c>
      <c r="Z900" s="1"/>
    </row>
    <row r="901" spans="3:26" x14ac:dyDescent="0.2">
      <c r="C901" s="39"/>
      <c r="D901" s="39"/>
      <c r="E901" s="38">
        <f>[2]!expavg($T$9:$T$26,$R$9:$R$26,K901,H901)</f>
        <v>0.68957279758642287</v>
      </c>
      <c r="F901" s="38" t="str">
        <f>[2]!expavg2($T$9:$T$26,I901,J901,$R$9:$R$26)</f>
        <v>ERROR: Please use BegPeriod &gt;= 1.</v>
      </c>
      <c r="H901" s="2">
        <f t="shared" si="86"/>
        <v>10</v>
      </c>
      <c r="I901" s="24">
        <f t="shared" si="90"/>
        <v>-32</v>
      </c>
      <c r="J901" s="24">
        <f t="shared" si="91"/>
        <v>11</v>
      </c>
      <c r="K901" s="17">
        <f t="shared" si="87"/>
        <v>-42</v>
      </c>
      <c r="M901" s="15">
        <f t="shared" ca="1" si="88"/>
        <v>0</v>
      </c>
      <c r="N901" s="15">
        <f t="shared" ca="1" si="89"/>
        <v>38748</v>
      </c>
      <c r="Z901" s="1"/>
    </row>
    <row r="902" spans="3:26" x14ac:dyDescent="0.2">
      <c r="C902" s="39"/>
      <c r="D902" s="39"/>
      <c r="E902" s="38">
        <f>[2]!expavg($T$9:$T$26,$R$9:$R$26,K902,H902)</f>
        <v>0.67160897630855276</v>
      </c>
      <c r="F902" s="38" t="str">
        <f>[2]!expavg2($T$9:$T$26,I902,J902,$R$9:$R$26)</f>
        <v>ERROR: Please use BegPeriod &gt;= 1.</v>
      </c>
      <c r="H902" s="2">
        <f t="shared" si="86"/>
        <v>9</v>
      </c>
      <c r="I902" s="24">
        <f t="shared" si="90"/>
        <v>-32</v>
      </c>
      <c r="J902" s="24">
        <f t="shared" si="91"/>
        <v>10</v>
      </c>
      <c r="K902" s="17">
        <f t="shared" si="87"/>
        <v>-41</v>
      </c>
      <c r="M902" s="15">
        <f t="shared" ca="1" si="88"/>
        <v>0</v>
      </c>
      <c r="N902" s="15">
        <f t="shared" ca="1" si="89"/>
        <v>39113</v>
      </c>
      <c r="Z902" s="1"/>
    </row>
    <row r="903" spans="3:26" x14ac:dyDescent="0.2">
      <c r="C903" s="39"/>
      <c r="D903" s="39"/>
      <c r="E903" s="38">
        <f>[2]!expavg($T$9:$T$26,$R$9:$R$26,K903,H903)</f>
        <v>0.66527157980250695</v>
      </c>
      <c r="F903" s="38" t="str">
        <f>[2]!expavg2($T$9:$T$26,I903,J903,$R$9:$R$26)</f>
        <v>ERROR: Please use BegPeriod &gt;= 1.</v>
      </c>
      <c r="H903" s="2">
        <f t="shared" si="86"/>
        <v>8</v>
      </c>
      <c r="I903" s="24">
        <f t="shared" si="90"/>
        <v>-32</v>
      </c>
      <c r="J903" s="24">
        <f t="shared" si="91"/>
        <v>9</v>
      </c>
      <c r="K903" s="17">
        <f t="shared" si="87"/>
        <v>-40</v>
      </c>
      <c r="M903" s="15">
        <f t="shared" ca="1" si="88"/>
        <v>0</v>
      </c>
      <c r="N903" s="15">
        <f t="shared" ca="1" si="89"/>
        <v>39478</v>
      </c>
      <c r="Z903" s="1"/>
    </row>
    <row r="904" spans="3:26" x14ac:dyDescent="0.2">
      <c r="C904" s="39"/>
      <c r="D904" s="39"/>
      <c r="E904" s="38">
        <f>[2]!expavg($T$9:$T$26,$R$9:$R$26,K904,H904)</f>
        <v>0.68450987024306864</v>
      </c>
      <c r="F904" s="38" t="str">
        <f>[2]!expavg2($T$9:$T$26,I904,J904,$R$9:$R$26)</f>
        <v>ERROR: Please use BegPeriod &gt;= 1.</v>
      </c>
      <c r="H904" s="2">
        <f t="shared" si="86"/>
        <v>7</v>
      </c>
      <c r="I904" s="24">
        <f t="shared" si="90"/>
        <v>-32</v>
      </c>
      <c r="J904" s="24">
        <f t="shared" si="91"/>
        <v>8</v>
      </c>
      <c r="K904" s="17">
        <f t="shared" si="87"/>
        <v>-39</v>
      </c>
      <c r="M904" s="15">
        <f t="shared" ca="1" si="88"/>
        <v>0</v>
      </c>
      <c r="N904" s="15">
        <f t="shared" ca="1" si="89"/>
        <v>39844</v>
      </c>
      <c r="Z904" s="1"/>
    </row>
    <row r="905" spans="3:26" x14ac:dyDescent="0.2">
      <c r="C905" s="39"/>
      <c r="D905" s="39"/>
      <c r="E905" s="38">
        <f>[2]!expavg($T$9:$T$26,$R$9:$R$26,K905,H905)</f>
        <v>0.67627397338659268</v>
      </c>
      <c r="F905" s="38" t="str">
        <f>[2]!expavg2($T$9:$T$26,I905,J905,$R$9:$R$26)</f>
        <v>ERROR: Please use BegPeriod &gt;= 1.</v>
      </c>
      <c r="H905" s="2">
        <f t="shared" si="86"/>
        <v>6</v>
      </c>
      <c r="I905" s="24">
        <f t="shared" si="90"/>
        <v>-32</v>
      </c>
      <c r="J905" s="24">
        <f t="shared" si="91"/>
        <v>7</v>
      </c>
      <c r="K905" s="17">
        <f t="shared" si="87"/>
        <v>-38</v>
      </c>
      <c r="M905" s="15">
        <f t="shared" ca="1" si="88"/>
        <v>0</v>
      </c>
      <c r="N905" s="15">
        <f t="shared" ca="1" si="89"/>
        <v>40209</v>
      </c>
      <c r="Z905" s="1"/>
    </row>
    <row r="906" spans="3:26" x14ac:dyDescent="0.2">
      <c r="C906" s="39"/>
      <c r="D906" s="39"/>
      <c r="E906" s="38">
        <f>[2]!expavg($T$9:$T$26,$R$9:$R$26,K906,H906)</f>
        <v>0.66006899259190965</v>
      </c>
      <c r="F906" s="38" t="str">
        <f>[2]!expavg2($T$9:$T$26,I906,J906,$R$9:$R$26)</f>
        <v>ERROR: Please use BegPeriod &gt;= 1.</v>
      </c>
      <c r="H906" s="2">
        <f t="shared" si="86"/>
        <v>5</v>
      </c>
      <c r="I906" s="24">
        <f t="shared" si="90"/>
        <v>-32</v>
      </c>
      <c r="J906" s="24">
        <f t="shared" si="91"/>
        <v>6</v>
      </c>
      <c r="K906" s="17">
        <f t="shared" si="87"/>
        <v>-37</v>
      </c>
      <c r="M906" s="15">
        <f t="shared" ca="1" si="88"/>
        <v>0</v>
      </c>
      <c r="N906" s="15">
        <f t="shared" ca="1" si="89"/>
        <v>40574</v>
      </c>
      <c r="Z906" s="1"/>
    </row>
    <row r="907" spans="3:26" x14ac:dyDescent="0.2">
      <c r="C907" s="39"/>
      <c r="D907" s="39"/>
      <c r="E907" s="38">
        <f>[2]!expavg($T$9:$T$26,$R$9:$R$26,K907,H907)</f>
        <v>0.64048216018789683</v>
      </c>
      <c r="F907" s="38" t="str">
        <f>[2]!expavg2($T$9:$T$26,I907,J907,$R$9:$R$26)</f>
        <v>ERROR: Please use BegPeriod &gt;= 1.</v>
      </c>
      <c r="H907" s="2">
        <f t="shared" si="86"/>
        <v>4</v>
      </c>
      <c r="I907" s="24">
        <f t="shared" si="90"/>
        <v>-32</v>
      </c>
      <c r="J907" s="24">
        <f t="shared" si="91"/>
        <v>5</v>
      </c>
      <c r="K907" s="17">
        <f t="shared" si="87"/>
        <v>-36</v>
      </c>
      <c r="M907" s="15">
        <f t="shared" ca="1" si="88"/>
        <v>0</v>
      </c>
      <c r="N907" s="15">
        <f t="shared" ca="1" si="89"/>
        <v>40939</v>
      </c>
      <c r="Z907" s="1"/>
    </row>
    <row r="908" spans="3:26" x14ac:dyDescent="0.2">
      <c r="C908" s="39"/>
      <c r="D908" s="39"/>
      <c r="E908" s="38">
        <f>[2]!expavg($T$9:$T$26,$R$9:$R$26,K908,H908)</f>
        <v>0.62815488340610859</v>
      </c>
      <c r="F908" s="38" t="str">
        <f>[2]!expavg2($T$9:$T$26,I908,J908,$R$9:$R$26)</f>
        <v>ERROR: Please use BegPeriod &gt;= 1.</v>
      </c>
      <c r="H908" s="2">
        <f t="shared" si="86"/>
        <v>3</v>
      </c>
      <c r="I908" s="24">
        <f t="shared" si="90"/>
        <v>-32</v>
      </c>
      <c r="J908" s="24">
        <f t="shared" si="91"/>
        <v>4</v>
      </c>
      <c r="K908" s="17">
        <f t="shared" si="87"/>
        <v>-35</v>
      </c>
      <c r="M908" s="15">
        <f t="shared" ca="1" si="88"/>
        <v>0</v>
      </c>
      <c r="N908" s="15">
        <f t="shared" ca="1" si="89"/>
        <v>41305</v>
      </c>
      <c r="Z908" s="1"/>
    </row>
    <row r="909" spans="3:26" x14ac:dyDescent="0.2">
      <c r="C909" s="39"/>
      <c r="D909" s="39"/>
      <c r="E909" s="38">
        <f>[2]!expavg($T$9:$T$26,$R$9:$R$26,K909,H909)</f>
        <v>0.62040838094689943</v>
      </c>
      <c r="F909" s="38" t="str">
        <f>[2]!expavg2($T$9:$T$26,I909,J909,$R$9:$R$26)</f>
        <v>ERROR: Please use BegPeriod &gt;= 1.</v>
      </c>
      <c r="H909" s="2">
        <f t="shared" si="86"/>
        <v>2</v>
      </c>
      <c r="I909" s="24">
        <f t="shared" si="90"/>
        <v>-32</v>
      </c>
      <c r="J909" s="24">
        <f t="shared" si="91"/>
        <v>3</v>
      </c>
      <c r="K909" s="17">
        <f t="shared" si="87"/>
        <v>-34</v>
      </c>
      <c r="M909" s="15">
        <f t="shared" ca="1" si="88"/>
        <v>0</v>
      </c>
      <c r="N909" s="15">
        <f t="shared" ca="1" si="89"/>
        <v>41670</v>
      </c>
      <c r="Z909" s="1"/>
    </row>
    <row r="910" spans="3:26" x14ac:dyDescent="0.2">
      <c r="C910" s="39"/>
      <c r="D910" s="39"/>
      <c r="E910" s="38">
        <f>[2]!expavg($T$9:$T$26,$R$9:$R$26,K910,H910)</f>
        <v>0.60752408974439076</v>
      </c>
      <c r="F910" s="38" t="str">
        <f>[2]!expavg2($T$9:$T$26,I910,J910,$R$9:$R$26)</f>
        <v>ERROR: Please use BegPeriod &gt;= 1.</v>
      </c>
      <c r="H910" s="2">
        <f t="shared" si="86"/>
        <v>1</v>
      </c>
      <c r="I910" s="24">
        <f t="shared" si="90"/>
        <v>-32</v>
      </c>
      <c r="J910" s="24">
        <f t="shared" si="91"/>
        <v>2</v>
      </c>
      <c r="K910" s="17">
        <f t="shared" si="87"/>
        <v>-33</v>
      </c>
      <c r="M910" s="15">
        <f t="shared" ca="1" si="88"/>
        <v>0</v>
      </c>
      <c r="N910" s="15">
        <f t="shared" ca="1" si="89"/>
        <v>42035</v>
      </c>
      <c r="Z910" s="1"/>
    </row>
    <row r="911" spans="3:26" x14ac:dyDescent="0.2">
      <c r="C911" s="39"/>
      <c r="D911" s="39"/>
      <c r="E911" s="38">
        <f>[2]!expavg($T$9:$T$26,$R$9:$R$26,K911,H911)</f>
        <v>0.60472044954610527</v>
      </c>
      <c r="F911" s="38" t="str">
        <f>[2]!expavg2($T$9:$T$26,I911,J911,$R$9:$R$26)</f>
        <v>ERROR: Please use BegPeriod &gt;= 1.</v>
      </c>
      <c r="H911" s="2">
        <f t="shared" si="86"/>
        <v>0</v>
      </c>
      <c r="I911" s="24">
        <f t="shared" si="90"/>
        <v>-32</v>
      </c>
      <c r="J911" s="24">
        <f t="shared" si="91"/>
        <v>1</v>
      </c>
      <c r="K911" s="17">
        <f t="shared" si="87"/>
        <v>-32</v>
      </c>
      <c r="M911" s="15">
        <f t="shared" ca="1" si="88"/>
        <v>0</v>
      </c>
      <c r="N911" s="15">
        <f t="shared" ca="1" si="89"/>
        <v>42400</v>
      </c>
      <c r="Z911" s="1"/>
    </row>
    <row r="912" spans="3:26" x14ac:dyDescent="0.2">
      <c r="C912" s="39"/>
      <c r="D912" s="39"/>
      <c r="E912" s="38">
        <f>[2]!expavg($T$9:$T$26,$R$9:$R$26,K912,H912)</f>
        <v>0.60472044954610527</v>
      </c>
      <c r="F912" s="38" t="str">
        <f>[2]!expavg2($T$9:$T$26,I912,J912,$R$9:$R$26)</f>
        <v>ERROR: Please use BegPeriod &gt;= 1.</v>
      </c>
      <c r="H912" s="2">
        <f t="shared" si="86"/>
        <v>-1</v>
      </c>
      <c r="I912" s="24">
        <f t="shared" si="90"/>
        <v>-32</v>
      </c>
      <c r="J912" s="24">
        <f t="shared" si="91"/>
        <v>0</v>
      </c>
      <c r="K912" s="17">
        <f t="shared" si="87"/>
        <v>-31</v>
      </c>
      <c r="M912" s="15">
        <f t="shared" ca="1" si="88"/>
        <v>0</v>
      </c>
      <c r="N912" s="15">
        <f t="shared" ca="1" si="89"/>
        <v>0</v>
      </c>
      <c r="Z912" s="1"/>
    </row>
    <row r="913" spans="3:26" x14ac:dyDescent="0.2">
      <c r="C913" s="39"/>
      <c r="D913" s="39"/>
      <c r="E913" s="38">
        <f>[2]!expavg($T$9:$T$26,$R$9:$R$26,K913,H913)</f>
        <v>0.60472044954610527</v>
      </c>
      <c r="F913" s="38" t="str">
        <f>[2]!expavg2($T$9:$T$26,I913,J913,$R$9:$R$26)</f>
        <v>ERROR: Please use BegPeriod &gt;= 1.</v>
      </c>
      <c r="H913" s="2">
        <f t="shared" si="86"/>
        <v>-2</v>
      </c>
      <c r="I913" s="24">
        <f t="shared" si="90"/>
        <v>-32</v>
      </c>
      <c r="J913" s="24">
        <f t="shared" si="91"/>
        <v>-1</v>
      </c>
      <c r="K913" s="17">
        <f t="shared" si="87"/>
        <v>-30</v>
      </c>
      <c r="M913" s="15">
        <f t="shared" ca="1" si="88"/>
        <v>0</v>
      </c>
      <c r="N913" s="15">
        <f t="shared" ca="1" si="89"/>
        <v>0</v>
      </c>
      <c r="Z913" s="1"/>
    </row>
    <row r="914" spans="3:26" x14ac:dyDescent="0.2">
      <c r="C914" s="39"/>
      <c r="D914" s="39"/>
      <c r="E914" s="38">
        <f>[2]!expavg($T$9:$T$26,$R$9:$R$26,K914,H914)</f>
        <v>0.70939186407915755</v>
      </c>
      <c r="F914" s="38" t="str">
        <f>[2]!expavg2($T$9:$T$26,I914,J914,$R$9:$R$26)</f>
        <v>ERROR: Please use BegPeriod &gt;= 1.</v>
      </c>
      <c r="H914" s="2">
        <f t="shared" si="86"/>
        <v>14</v>
      </c>
      <c r="I914" s="24">
        <f t="shared" si="90"/>
        <v>-33</v>
      </c>
      <c r="J914" s="24">
        <f t="shared" si="91"/>
        <v>15</v>
      </c>
      <c r="K914" s="17">
        <f t="shared" si="87"/>
        <v>-47</v>
      </c>
      <c r="M914" s="15">
        <f t="shared" ca="1" si="88"/>
        <v>0</v>
      </c>
      <c r="N914" s="15">
        <f t="shared" ca="1" si="89"/>
        <v>37287</v>
      </c>
      <c r="Z914" s="1"/>
    </row>
    <row r="915" spans="3:26" x14ac:dyDescent="0.2">
      <c r="C915" s="39"/>
      <c r="D915" s="39"/>
      <c r="E915" s="38">
        <f>[2]!expavg($T$9:$T$26,$R$9:$R$26,K915,H915)</f>
        <v>0.67177139323204882</v>
      </c>
      <c r="F915" s="38" t="str">
        <f>[2]!expavg2($T$9:$T$26,I915,J915,$R$9:$R$26)</f>
        <v>ERROR: Please use BegPeriod &gt;= 1.</v>
      </c>
      <c r="H915" s="2">
        <f t="shared" si="86"/>
        <v>13</v>
      </c>
      <c r="I915" s="24">
        <f t="shared" si="90"/>
        <v>-33</v>
      </c>
      <c r="J915" s="24">
        <f t="shared" si="91"/>
        <v>14</v>
      </c>
      <c r="K915" s="17">
        <f t="shared" si="87"/>
        <v>-46</v>
      </c>
      <c r="M915" s="15">
        <f t="shared" ca="1" si="88"/>
        <v>0</v>
      </c>
      <c r="N915" s="15">
        <f t="shared" ca="1" si="89"/>
        <v>37652</v>
      </c>
      <c r="Z915" s="1"/>
    </row>
    <row r="916" spans="3:26" x14ac:dyDescent="0.2">
      <c r="C916" s="39"/>
      <c r="D916" s="39"/>
      <c r="E916" s="38">
        <f>[2]!expavg($T$9:$T$26,$R$9:$R$26,K916,H916)</f>
        <v>0.66945167850810816</v>
      </c>
      <c r="F916" s="38" t="str">
        <f>[2]!expavg2($T$9:$T$26,I916,J916,$R$9:$R$26)</f>
        <v>ERROR: Please use BegPeriod &gt;= 1.</v>
      </c>
      <c r="H916" s="2">
        <f t="shared" si="86"/>
        <v>12</v>
      </c>
      <c r="I916" s="24">
        <f t="shared" si="90"/>
        <v>-33</v>
      </c>
      <c r="J916" s="24">
        <f t="shared" si="91"/>
        <v>13</v>
      </c>
      <c r="K916" s="17">
        <f t="shared" si="87"/>
        <v>-45</v>
      </c>
      <c r="M916" s="15">
        <f t="shared" ca="1" si="88"/>
        <v>0</v>
      </c>
      <c r="N916" s="15">
        <f t="shared" ca="1" si="89"/>
        <v>38017</v>
      </c>
      <c r="Z916" s="1"/>
    </row>
    <row r="917" spans="3:26" x14ac:dyDescent="0.2">
      <c r="C917" s="39"/>
      <c r="D917" s="39"/>
      <c r="E917" s="38">
        <f>[2]!expavg($T$9:$T$26,$R$9:$R$26,K917,H917)</f>
        <v>0.67904388723605558</v>
      </c>
      <c r="F917" s="38" t="str">
        <f>[2]!expavg2($T$9:$T$26,I917,J917,$R$9:$R$26)</f>
        <v>ERROR: Please use BegPeriod &gt;= 1.</v>
      </c>
      <c r="H917" s="2">
        <f t="shared" si="86"/>
        <v>11</v>
      </c>
      <c r="I917" s="24">
        <f t="shared" si="90"/>
        <v>-33</v>
      </c>
      <c r="J917" s="24">
        <f t="shared" si="91"/>
        <v>12</v>
      </c>
      <c r="K917" s="17">
        <f t="shared" si="87"/>
        <v>-44</v>
      </c>
      <c r="M917" s="15">
        <f t="shared" ca="1" si="88"/>
        <v>0</v>
      </c>
      <c r="N917" s="15">
        <f t="shared" ca="1" si="89"/>
        <v>38383</v>
      </c>
      <c r="Z917" s="1"/>
    </row>
    <row r="918" spans="3:26" x14ac:dyDescent="0.2">
      <c r="C918" s="39"/>
      <c r="D918" s="39"/>
      <c r="E918" s="38">
        <f>[2]!expavg($T$9:$T$26,$R$9:$R$26,K918,H918)</f>
        <v>0.68957279758642287</v>
      </c>
      <c r="F918" s="38" t="str">
        <f>[2]!expavg2($T$9:$T$26,I918,J918,$R$9:$R$26)</f>
        <v>ERROR: Please use BegPeriod &gt;= 1.</v>
      </c>
      <c r="H918" s="2">
        <f t="shared" si="86"/>
        <v>10</v>
      </c>
      <c r="I918" s="24">
        <f t="shared" si="90"/>
        <v>-33</v>
      </c>
      <c r="J918" s="24">
        <f t="shared" si="91"/>
        <v>11</v>
      </c>
      <c r="K918" s="17">
        <f t="shared" si="87"/>
        <v>-43</v>
      </c>
      <c r="M918" s="15">
        <f t="shared" ca="1" si="88"/>
        <v>0</v>
      </c>
      <c r="N918" s="15">
        <f t="shared" ca="1" si="89"/>
        <v>38748</v>
      </c>
      <c r="Z918" s="1"/>
    </row>
    <row r="919" spans="3:26" x14ac:dyDescent="0.2">
      <c r="C919" s="39"/>
      <c r="D919" s="39"/>
      <c r="E919" s="38">
        <f>[2]!expavg($T$9:$T$26,$R$9:$R$26,K919,H919)</f>
        <v>0.67160897630855276</v>
      </c>
      <c r="F919" s="38" t="str">
        <f>[2]!expavg2($T$9:$T$26,I919,J919,$R$9:$R$26)</f>
        <v>ERROR: Please use BegPeriod &gt;= 1.</v>
      </c>
      <c r="H919" s="2">
        <f t="shared" si="86"/>
        <v>9</v>
      </c>
      <c r="I919" s="24">
        <f t="shared" si="90"/>
        <v>-33</v>
      </c>
      <c r="J919" s="24">
        <f t="shared" si="91"/>
        <v>10</v>
      </c>
      <c r="K919" s="17">
        <f t="shared" si="87"/>
        <v>-42</v>
      </c>
      <c r="M919" s="15">
        <f t="shared" ca="1" si="88"/>
        <v>0</v>
      </c>
      <c r="N919" s="15">
        <f t="shared" ca="1" si="89"/>
        <v>39113</v>
      </c>
      <c r="Z919" s="1"/>
    </row>
    <row r="920" spans="3:26" x14ac:dyDescent="0.2">
      <c r="C920" s="39"/>
      <c r="D920" s="39"/>
      <c r="E920" s="38">
        <f>[2]!expavg($T$9:$T$26,$R$9:$R$26,K920,H920)</f>
        <v>0.66527157980250695</v>
      </c>
      <c r="F920" s="38" t="str">
        <f>[2]!expavg2($T$9:$T$26,I920,J920,$R$9:$R$26)</f>
        <v>ERROR: Please use BegPeriod &gt;= 1.</v>
      </c>
      <c r="H920" s="2">
        <f t="shared" si="86"/>
        <v>8</v>
      </c>
      <c r="I920" s="24">
        <f t="shared" si="90"/>
        <v>-33</v>
      </c>
      <c r="J920" s="24">
        <f t="shared" si="91"/>
        <v>9</v>
      </c>
      <c r="K920" s="17">
        <f t="shared" si="87"/>
        <v>-41</v>
      </c>
      <c r="M920" s="15">
        <f t="shared" ca="1" si="88"/>
        <v>0</v>
      </c>
      <c r="N920" s="15">
        <f t="shared" ca="1" si="89"/>
        <v>39478</v>
      </c>
      <c r="Z920" s="1"/>
    </row>
    <row r="921" spans="3:26" x14ac:dyDescent="0.2">
      <c r="C921" s="39"/>
      <c r="D921" s="39"/>
      <c r="E921" s="38">
        <f>[2]!expavg($T$9:$T$26,$R$9:$R$26,K921,H921)</f>
        <v>0.68450987024306864</v>
      </c>
      <c r="F921" s="38" t="str">
        <f>[2]!expavg2($T$9:$T$26,I921,J921,$R$9:$R$26)</f>
        <v>ERROR: Please use BegPeriod &gt;= 1.</v>
      </c>
      <c r="H921" s="2">
        <f t="shared" si="86"/>
        <v>7</v>
      </c>
      <c r="I921" s="24">
        <f t="shared" si="90"/>
        <v>-33</v>
      </c>
      <c r="J921" s="24">
        <f t="shared" si="91"/>
        <v>8</v>
      </c>
      <c r="K921" s="17">
        <f t="shared" si="87"/>
        <v>-40</v>
      </c>
      <c r="M921" s="15">
        <f t="shared" ca="1" si="88"/>
        <v>0</v>
      </c>
      <c r="N921" s="15">
        <f t="shared" ca="1" si="89"/>
        <v>39844</v>
      </c>
      <c r="Z921" s="1"/>
    </row>
    <row r="922" spans="3:26" x14ac:dyDescent="0.2">
      <c r="C922" s="39"/>
      <c r="D922" s="39"/>
      <c r="E922" s="38">
        <f>[2]!expavg($T$9:$T$26,$R$9:$R$26,K922,H922)</f>
        <v>0.67627397338659268</v>
      </c>
      <c r="F922" s="38" t="str">
        <f>[2]!expavg2($T$9:$T$26,I922,J922,$R$9:$R$26)</f>
        <v>ERROR: Please use BegPeriod &gt;= 1.</v>
      </c>
      <c r="H922" s="2">
        <f t="shared" si="86"/>
        <v>6</v>
      </c>
      <c r="I922" s="24">
        <f t="shared" si="90"/>
        <v>-33</v>
      </c>
      <c r="J922" s="24">
        <f t="shared" si="91"/>
        <v>7</v>
      </c>
      <c r="K922" s="17">
        <f t="shared" si="87"/>
        <v>-39</v>
      </c>
      <c r="M922" s="15">
        <f t="shared" ca="1" si="88"/>
        <v>0</v>
      </c>
      <c r="N922" s="15">
        <f t="shared" ca="1" si="89"/>
        <v>40209</v>
      </c>
      <c r="Z922" s="1"/>
    </row>
    <row r="923" spans="3:26" x14ac:dyDescent="0.2">
      <c r="C923" s="39"/>
      <c r="D923" s="39"/>
      <c r="E923" s="38">
        <f>[2]!expavg($T$9:$T$26,$R$9:$R$26,K923,H923)</f>
        <v>0.66006899259190965</v>
      </c>
      <c r="F923" s="38" t="str">
        <f>[2]!expavg2($T$9:$T$26,I923,J923,$R$9:$R$26)</f>
        <v>ERROR: Please use BegPeriod &gt;= 1.</v>
      </c>
      <c r="H923" s="2">
        <f t="shared" si="86"/>
        <v>5</v>
      </c>
      <c r="I923" s="24">
        <f t="shared" si="90"/>
        <v>-33</v>
      </c>
      <c r="J923" s="24">
        <f t="shared" si="91"/>
        <v>6</v>
      </c>
      <c r="K923" s="17">
        <f t="shared" si="87"/>
        <v>-38</v>
      </c>
      <c r="M923" s="15">
        <f t="shared" ca="1" si="88"/>
        <v>0</v>
      </c>
      <c r="N923" s="15">
        <f t="shared" ca="1" si="89"/>
        <v>40574</v>
      </c>
      <c r="Z923" s="1"/>
    </row>
    <row r="924" spans="3:26" x14ac:dyDescent="0.2">
      <c r="C924" s="39"/>
      <c r="D924" s="39"/>
      <c r="E924" s="38">
        <f>[2]!expavg($T$9:$T$26,$R$9:$R$26,K924,H924)</f>
        <v>0.64048216018789683</v>
      </c>
      <c r="F924" s="38" t="str">
        <f>[2]!expavg2($T$9:$T$26,I924,J924,$R$9:$R$26)</f>
        <v>ERROR: Please use BegPeriod &gt;= 1.</v>
      </c>
      <c r="H924" s="2">
        <f t="shared" si="86"/>
        <v>4</v>
      </c>
      <c r="I924" s="24">
        <f t="shared" si="90"/>
        <v>-33</v>
      </c>
      <c r="J924" s="24">
        <f t="shared" si="91"/>
        <v>5</v>
      </c>
      <c r="K924" s="17">
        <f t="shared" si="87"/>
        <v>-37</v>
      </c>
      <c r="M924" s="15">
        <f t="shared" ca="1" si="88"/>
        <v>0</v>
      </c>
      <c r="N924" s="15">
        <f t="shared" ca="1" si="89"/>
        <v>40939</v>
      </c>
      <c r="Z924" s="1"/>
    </row>
    <row r="925" spans="3:26" x14ac:dyDescent="0.2">
      <c r="C925" s="39"/>
      <c r="D925" s="39"/>
      <c r="E925" s="38">
        <f>[2]!expavg($T$9:$T$26,$R$9:$R$26,K925,H925)</f>
        <v>0.62815488340610859</v>
      </c>
      <c r="F925" s="38" t="str">
        <f>[2]!expavg2($T$9:$T$26,I925,J925,$R$9:$R$26)</f>
        <v>ERROR: Please use BegPeriod &gt;= 1.</v>
      </c>
      <c r="H925" s="2">
        <f t="shared" si="86"/>
        <v>3</v>
      </c>
      <c r="I925" s="24">
        <f t="shared" si="90"/>
        <v>-33</v>
      </c>
      <c r="J925" s="24">
        <f t="shared" si="91"/>
        <v>4</v>
      </c>
      <c r="K925" s="17">
        <f t="shared" si="87"/>
        <v>-36</v>
      </c>
      <c r="M925" s="15">
        <f t="shared" ca="1" si="88"/>
        <v>0</v>
      </c>
      <c r="N925" s="15">
        <f t="shared" ca="1" si="89"/>
        <v>41305</v>
      </c>
      <c r="Z925" s="1"/>
    </row>
    <row r="926" spans="3:26" x14ac:dyDescent="0.2">
      <c r="C926" s="39"/>
      <c r="D926" s="39"/>
      <c r="E926" s="38">
        <f>[2]!expavg($T$9:$T$26,$R$9:$R$26,K926,H926)</f>
        <v>0.62040838094689943</v>
      </c>
      <c r="F926" s="38" t="str">
        <f>[2]!expavg2($T$9:$T$26,I926,J926,$R$9:$R$26)</f>
        <v>ERROR: Please use BegPeriod &gt;= 1.</v>
      </c>
      <c r="H926" s="2">
        <f t="shared" si="86"/>
        <v>2</v>
      </c>
      <c r="I926" s="24">
        <f t="shared" si="90"/>
        <v>-33</v>
      </c>
      <c r="J926" s="24">
        <f t="shared" si="91"/>
        <v>3</v>
      </c>
      <c r="K926" s="17">
        <f t="shared" si="87"/>
        <v>-35</v>
      </c>
      <c r="M926" s="15">
        <f t="shared" ca="1" si="88"/>
        <v>0</v>
      </c>
      <c r="N926" s="15">
        <f t="shared" ca="1" si="89"/>
        <v>41670</v>
      </c>
      <c r="Z926" s="1"/>
    </row>
    <row r="927" spans="3:26" x14ac:dyDescent="0.2">
      <c r="C927" s="39"/>
      <c r="D927" s="39"/>
      <c r="E927" s="38">
        <f>[2]!expavg($T$9:$T$26,$R$9:$R$26,K927,H927)</f>
        <v>0.60752408974439076</v>
      </c>
      <c r="F927" s="38" t="str">
        <f>[2]!expavg2($T$9:$T$26,I927,J927,$R$9:$R$26)</f>
        <v>ERROR: Please use BegPeriod &gt;= 1.</v>
      </c>
      <c r="H927" s="2">
        <f t="shared" si="86"/>
        <v>1</v>
      </c>
      <c r="I927" s="24">
        <f t="shared" si="90"/>
        <v>-33</v>
      </c>
      <c r="J927" s="24">
        <f t="shared" si="91"/>
        <v>2</v>
      </c>
      <c r="K927" s="17">
        <f t="shared" si="87"/>
        <v>-34</v>
      </c>
      <c r="M927" s="15">
        <f t="shared" ca="1" si="88"/>
        <v>0</v>
      </c>
      <c r="N927" s="15">
        <f t="shared" ca="1" si="89"/>
        <v>42035</v>
      </c>
      <c r="Z927" s="1"/>
    </row>
    <row r="928" spans="3:26" x14ac:dyDescent="0.2">
      <c r="C928" s="39"/>
      <c r="D928" s="39"/>
      <c r="E928" s="38">
        <f>[2]!expavg($T$9:$T$26,$R$9:$R$26,K928,H928)</f>
        <v>0.60472044954610527</v>
      </c>
      <c r="F928" s="38" t="str">
        <f>[2]!expavg2($T$9:$T$26,I928,J928,$R$9:$R$26)</f>
        <v>ERROR: Please use BegPeriod &gt;= 1.</v>
      </c>
      <c r="H928" s="2">
        <f t="shared" si="86"/>
        <v>0</v>
      </c>
      <c r="I928" s="24">
        <f t="shared" si="90"/>
        <v>-33</v>
      </c>
      <c r="J928" s="24">
        <f t="shared" si="91"/>
        <v>1</v>
      </c>
      <c r="K928" s="17">
        <f t="shared" si="87"/>
        <v>-33</v>
      </c>
      <c r="M928" s="15">
        <f t="shared" ca="1" si="88"/>
        <v>0</v>
      </c>
      <c r="N928" s="15">
        <f t="shared" ca="1" si="89"/>
        <v>42400</v>
      </c>
      <c r="Z928" s="1"/>
    </row>
    <row r="929" spans="3:26" x14ac:dyDescent="0.2">
      <c r="C929" s="39"/>
      <c r="D929" s="39"/>
      <c r="E929" s="38">
        <f>[2]!expavg($T$9:$T$26,$R$9:$R$26,K929,H929)</f>
        <v>0.60472044954610527</v>
      </c>
      <c r="F929" s="38" t="str">
        <f>[2]!expavg2($T$9:$T$26,I929,J929,$R$9:$R$26)</f>
        <v>ERROR: Please use BegPeriod &gt;= 1.</v>
      </c>
      <c r="H929" s="2">
        <f t="shared" si="86"/>
        <v>-1</v>
      </c>
      <c r="I929" s="24">
        <f t="shared" si="90"/>
        <v>-33</v>
      </c>
      <c r="J929" s="24">
        <f t="shared" si="91"/>
        <v>0</v>
      </c>
      <c r="K929" s="17">
        <f t="shared" si="87"/>
        <v>-32</v>
      </c>
      <c r="M929" s="15">
        <f t="shared" ca="1" si="88"/>
        <v>0</v>
      </c>
      <c r="N929" s="15">
        <f t="shared" ca="1" si="89"/>
        <v>0</v>
      </c>
      <c r="Z929" s="1"/>
    </row>
    <row r="930" spans="3:26" x14ac:dyDescent="0.2">
      <c r="C930" s="39"/>
      <c r="D930" s="39"/>
      <c r="E930" s="38">
        <f>[2]!expavg($T$9:$T$26,$R$9:$R$26,K930,H930)</f>
        <v>0.60472044954610527</v>
      </c>
      <c r="F930" s="38" t="str">
        <f>[2]!expavg2($T$9:$T$26,I930,J930,$R$9:$R$26)</f>
        <v>ERROR: Please use BegPeriod &gt;= 1.</v>
      </c>
      <c r="H930" s="2">
        <f t="shared" si="86"/>
        <v>-2</v>
      </c>
      <c r="I930" s="24">
        <f t="shared" si="90"/>
        <v>-33</v>
      </c>
      <c r="J930" s="24">
        <f t="shared" si="91"/>
        <v>-1</v>
      </c>
      <c r="K930" s="17">
        <f t="shared" si="87"/>
        <v>-31</v>
      </c>
      <c r="M930" s="15">
        <f t="shared" ca="1" si="88"/>
        <v>0</v>
      </c>
      <c r="N930" s="15">
        <f t="shared" ca="1" si="89"/>
        <v>0</v>
      </c>
      <c r="Z930" s="1"/>
    </row>
    <row r="931" spans="3:26" x14ac:dyDescent="0.2">
      <c r="C931" s="39"/>
      <c r="D931" s="39"/>
      <c r="E931" s="38">
        <f>[2]!expavg($T$9:$T$26,$R$9:$R$26,K931,H931)</f>
        <v>0.70939186407915755</v>
      </c>
      <c r="F931" s="38" t="str">
        <f>[2]!expavg2($T$9:$T$26,I931,J931,$R$9:$R$26)</f>
        <v>ERROR: Please use BegPeriod &gt;= 1.</v>
      </c>
      <c r="H931" s="2">
        <f t="shared" si="86"/>
        <v>14</v>
      </c>
      <c r="I931" s="24">
        <f t="shared" si="90"/>
        <v>-34</v>
      </c>
      <c r="J931" s="24">
        <f t="shared" si="91"/>
        <v>15</v>
      </c>
      <c r="K931" s="17">
        <f t="shared" si="87"/>
        <v>-48</v>
      </c>
      <c r="M931" s="15">
        <f t="shared" ca="1" si="88"/>
        <v>0</v>
      </c>
      <c r="N931" s="15">
        <f t="shared" ca="1" si="89"/>
        <v>37287</v>
      </c>
      <c r="Z931" s="1"/>
    </row>
    <row r="932" spans="3:26" x14ac:dyDescent="0.2">
      <c r="C932" s="39"/>
      <c r="D932" s="39"/>
      <c r="E932" s="38">
        <f>[2]!expavg($T$9:$T$26,$R$9:$R$26,K932,H932)</f>
        <v>0.67177139323204882</v>
      </c>
      <c r="F932" s="38" t="str">
        <f>[2]!expavg2($T$9:$T$26,I932,J932,$R$9:$R$26)</f>
        <v>ERROR: Please use BegPeriod &gt;= 1.</v>
      </c>
      <c r="H932" s="2">
        <f t="shared" si="86"/>
        <v>13</v>
      </c>
      <c r="I932" s="24">
        <f t="shared" si="90"/>
        <v>-34</v>
      </c>
      <c r="J932" s="24">
        <f t="shared" si="91"/>
        <v>14</v>
      </c>
      <c r="K932" s="17">
        <f t="shared" si="87"/>
        <v>-47</v>
      </c>
      <c r="M932" s="15">
        <f t="shared" ca="1" si="88"/>
        <v>0</v>
      </c>
      <c r="N932" s="15">
        <f t="shared" ca="1" si="89"/>
        <v>37652</v>
      </c>
      <c r="Z932" s="1"/>
    </row>
    <row r="933" spans="3:26" x14ac:dyDescent="0.2">
      <c r="C933" s="39"/>
      <c r="D933" s="39"/>
      <c r="E933" s="38">
        <f>[2]!expavg($T$9:$T$26,$R$9:$R$26,K933,H933)</f>
        <v>0.66945167850810816</v>
      </c>
      <c r="F933" s="38" t="str">
        <f>[2]!expavg2($T$9:$T$26,I933,J933,$R$9:$R$26)</f>
        <v>ERROR: Please use BegPeriod &gt;= 1.</v>
      </c>
      <c r="H933" s="2">
        <f t="shared" si="86"/>
        <v>12</v>
      </c>
      <c r="I933" s="24">
        <f t="shared" si="90"/>
        <v>-34</v>
      </c>
      <c r="J933" s="24">
        <f t="shared" si="91"/>
        <v>13</v>
      </c>
      <c r="K933" s="17">
        <f t="shared" si="87"/>
        <v>-46</v>
      </c>
      <c r="M933" s="15">
        <f t="shared" ca="1" si="88"/>
        <v>0</v>
      </c>
      <c r="N933" s="15">
        <f t="shared" ca="1" si="89"/>
        <v>38017</v>
      </c>
      <c r="Z933" s="1"/>
    </row>
    <row r="934" spans="3:26" x14ac:dyDescent="0.2">
      <c r="C934" s="39"/>
      <c r="D934" s="39"/>
      <c r="E934" s="38">
        <f>[2]!expavg($T$9:$T$26,$R$9:$R$26,K934,H934)</f>
        <v>0.67904388723605558</v>
      </c>
      <c r="F934" s="38" t="str">
        <f>[2]!expavg2($T$9:$T$26,I934,J934,$R$9:$R$26)</f>
        <v>ERROR: Please use BegPeriod &gt;= 1.</v>
      </c>
      <c r="H934" s="2">
        <f t="shared" si="86"/>
        <v>11</v>
      </c>
      <c r="I934" s="24">
        <f t="shared" si="90"/>
        <v>-34</v>
      </c>
      <c r="J934" s="24">
        <f t="shared" si="91"/>
        <v>12</v>
      </c>
      <c r="K934" s="17">
        <f t="shared" si="87"/>
        <v>-45</v>
      </c>
      <c r="M934" s="15">
        <f t="shared" ca="1" si="88"/>
        <v>0</v>
      </c>
      <c r="N934" s="15">
        <f t="shared" ca="1" si="89"/>
        <v>38383</v>
      </c>
      <c r="Z934" s="1"/>
    </row>
    <row r="935" spans="3:26" x14ac:dyDescent="0.2">
      <c r="C935" s="39"/>
      <c r="D935" s="39"/>
      <c r="E935" s="38">
        <f>[2]!expavg($T$9:$T$26,$R$9:$R$26,K935,H935)</f>
        <v>0.68957279758642287</v>
      </c>
      <c r="F935" s="38" t="str">
        <f>[2]!expavg2($T$9:$T$26,I935,J935,$R$9:$R$26)</f>
        <v>ERROR: Please use BegPeriod &gt;= 1.</v>
      </c>
      <c r="H935" s="2">
        <f t="shared" si="86"/>
        <v>10</v>
      </c>
      <c r="I935" s="24">
        <f t="shared" si="90"/>
        <v>-34</v>
      </c>
      <c r="J935" s="24">
        <f t="shared" si="91"/>
        <v>11</v>
      </c>
      <c r="K935" s="17">
        <f t="shared" si="87"/>
        <v>-44</v>
      </c>
      <c r="M935" s="15">
        <f t="shared" ca="1" si="88"/>
        <v>0</v>
      </c>
      <c r="N935" s="15">
        <f t="shared" ca="1" si="89"/>
        <v>38748</v>
      </c>
      <c r="Z935" s="1"/>
    </row>
    <row r="936" spans="3:26" x14ac:dyDescent="0.2">
      <c r="C936" s="39"/>
      <c r="D936" s="39"/>
      <c r="E936" s="38">
        <f>[2]!expavg($T$9:$T$26,$R$9:$R$26,K936,H936)</f>
        <v>0.67160897630855276</v>
      </c>
      <c r="F936" s="38" t="str">
        <f>[2]!expavg2($T$9:$T$26,I936,J936,$R$9:$R$26)</f>
        <v>ERROR: Please use BegPeriod &gt;= 1.</v>
      </c>
      <c r="H936" s="2">
        <f t="shared" si="86"/>
        <v>9</v>
      </c>
      <c r="I936" s="24">
        <f t="shared" si="90"/>
        <v>-34</v>
      </c>
      <c r="J936" s="24">
        <f t="shared" si="91"/>
        <v>10</v>
      </c>
      <c r="K936" s="17">
        <f t="shared" si="87"/>
        <v>-43</v>
      </c>
      <c r="M936" s="15">
        <f t="shared" ca="1" si="88"/>
        <v>0</v>
      </c>
      <c r="N936" s="15">
        <f t="shared" ca="1" si="89"/>
        <v>39113</v>
      </c>
      <c r="Z936" s="1"/>
    </row>
    <row r="937" spans="3:26" x14ac:dyDescent="0.2">
      <c r="C937" s="39"/>
      <c r="D937" s="39"/>
      <c r="E937" s="38">
        <f>[2]!expavg($T$9:$T$26,$R$9:$R$26,K937,H937)</f>
        <v>0.66527157980250695</v>
      </c>
      <c r="F937" s="38" t="str">
        <f>[2]!expavg2($T$9:$T$26,I937,J937,$R$9:$R$26)</f>
        <v>ERROR: Please use BegPeriod &gt;= 1.</v>
      </c>
      <c r="H937" s="2">
        <f t="shared" si="86"/>
        <v>8</v>
      </c>
      <c r="I937" s="24">
        <f t="shared" si="90"/>
        <v>-34</v>
      </c>
      <c r="J937" s="24">
        <f t="shared" si="91"/>
        <v>9</v>
      </c>
      <c r="K937" s="17">
        <f t="shared" si="87"/>
        <v>-42</v>
      </c>
      <c r="M937" s="15">
        <f t="shared" ca="1" si="88"/>
        <v>0</v>
      </c>
      <c r="N937" s="15">
        <f t="shared" ca="1" si="89"/>
        <v>39478</v>
      </c>
      <c r="Z937" s="1"/>
    </row>
    <row r="938" spans="3:26" x14ac:dyDescent="0.2">
      <c r="C938" s="39"/>
      <c r="D938" s="39"/>
      <c r="E938" s="38">
        <f>[2]!expavg($T$9:$T$26,$R$9:$R$26,K938,H938)</f>
        <v>0.68450987024306864</v>
      </c>
      <c r="F938" s="38" t="str">
        <f>[2]!expavg2($T$9:$T$26,I938,J938,$R$9:$R$26)</f>
        <v>ERROR: Please use BegPeriod &gt;= 1.</v>
      </c>
      <c r="H938" s="2">
        <f t="shared" si="86"/>
        <v>7</v>
      </c>
      <c r="I938" s="24">
        <f t="shared" si="90"/>
        <v>-34</v>
      </c>
      <c r="J938" s="24">
        <f t="shared" si="91"/>
        <v>8</v>
      </c>
      <c r="K938" s="17">
        <f t="shared" si="87"/>
        <v>-41</v>
      </c>
      <c r="M938" s="15">
        <f t="shared" ca="1" si="88"/>
        <v>0</v>
      </c>
      <c r="N938" s="15">
        <f t="shared" ca="1" si="89"/>
        <v>39844</v>
      </c>
      <c r="Z938" s="1"/>
    </row>
    <row r="939" spans="3:26" x14ac:dyDescent="0.2">
      <c r="C939" s="39"/>
      <c r="D939" s="39"/>
      <c r="E939" s="38">
        <f>[2]!expavg($T$9:$T$26,$R$9:$R$26,K939,H939)</f>
        <v>0.67627397338659268</v>
      </c>
      <c r="F939" s="38" t="str">
        <f>[2]!expavg2($T$9:$T$26,I939,J939,$R$9:$R$26)</f>
        <v>ERROR: Please use BegPeriod &gt;= 1.</v>
      </c>
      <c r="H939" s="2">
        <f t="shared" si="86"/>
        <v>6</v>
      </c>
      <c r="I939" s="24">
        <f t="shared" si="90"/>
        <v>-34</v>
      </c>
      <c r="J939" s="24">
        <f t="shared" si="91"/>
        <v>7</v>
      </c>
      <c r="K939" s="17">
        <f t="shared" si="87"/>
        <v>-40</v>
      </c>
      <c r="M939" s="15">
        <f t="shared" ca="1" si="88"/>
        <v>0</v>
      </c>
      <c r="N939" s="15">
        <f t="shared" ca="1" si="89"/>
        <v>40209</v>
      </c>
      <c r="Z939" s="1"/>
    </row>
    <row r="940" spans="3:26" x14ac:dyDescent="0.2">
      <c r="C940" s="39"/>
      <c r="D940" s="39"/>
      <c r="E940" s="38">
        <f>[2]!expavg($T$9:$T$26,$R$9:$R$26,K940,H940)</f>
        <v>0.66006899259190965</v>
      </c>
      <c r="F940" s="38" t="str">
        <f>[2]!expavg2($T$9:$T$26,I940,J940,$R$9:$R$26)</f>
        <v>ERROR: Please use BegPeriod &gt;= 1.</v>
      </c>
      <c r="H940" s="2">
        <f t="shared" si="86"/>
        <v>5</v>
      </c>
      <c r="I940" s="24">
        <f t="shared" si="90"/>
        <v>-34</v>
      </c>
      <c r="J940" s="24">
        <f t="shared" si="91"/>
        <v>6</v>
      </c>
      <c r="K940" s="17">
        <f t="shared" si="87"/>
        <v>-39</v>
      </c>
      <c r="M940" s="15">
        <f t="shared" ca="1" si="88"/>
        <v>0</v>
      </c>
      <c r="N940" s="15">
        <f t="shared" ca="1" si="89"/>
        <v>40574</v>
      </c>
      <c r="Z940" s="1"/>
    </row>
    <row r="941" spans="3:26" x14ac:dyDescent="0.2">
      <c r="C941" s="39"/>
      <c r="D941" s="39"/>
      <c r="E941" s="38">
        <f>[2]!expavg($T$9:$T$26,$R$9:$R$26,K941,H941)</f>
        <v>0.64048216018789683</v>
      </c>
      <c r="F941" s="38" t="str">
        <f>[2]!expavg2($T$9:$T$26,I941,J941,$R$9:$R$26)</f>
        <v>ERROR: Please use BegPeriod &gt;= 1.</v>
      </c>
      <c r="H941" s="2">
        <f t="shared" si="86"/>
        <v>4</v>
      </c>
      <c r="I941" s="24">
        <f t="shared" si="90"/>
        <v>-34</v>
      </c>
      <c r="J941" s="24">
        <f t="shared" si="91"/>
        <v>5</v>
      </c>
      <c r="K941" s="17">
        <f t="shared" si="87"/>
        <v>-38</v>
      </c>
      <c r="M941" s="15">
        <f t="shared" ca="1" si="88"/>
        <v>0</v>
      </c>
      <c r="N941" s="15">
        <f t="shared" ca="1" si="89"/>
        <v>40939</v>
      </c>
      <c r="Z941" s="1"/>
    </row>
    <row r="942" spans="3:26" x14ac:dyDescent="0.2">
      <c r="C942" s="39"/>
      <c r="D942" s="39"/>
      <c r="E942" s="38">
        <f>[2]!expavg($T$9:$T$26,$R$9:$R$26,K942,H942)</f>
        <v>0.62815488340610859</v>
      </c>
      <c r="F942" s="38" t="str">
        <f>[2]!expavg2($T$9:$T$26,I942,J942,$R$9:$R$26)</f>
        <v>ERROR: Please use BegPeriod &gt;= 1.</v>
      </c>
      <c r="H942" s="2">
        <f t="shared" si="86"/>
        <v>3</v>
      </c>
      <c r="I942" s="24">
        <f t="shared" si="90"/>
        <v>-34</v>
      </c>
      <c r="J942" s="24">
        <f t="shared" si="91"/>
        <v>4</v>
      </c>
      <c r="K942" s="17">
        <f t="shared" si="87"/>
        <v>-37</v>
      </c>
      <c r="M942" s="15">
        <f t="shared" ca="1" si="88"/>
        <v>0</v>
      </c>
      <c r="N942" s="15">
        <f t="shared" ca="1" si="89"/>
        <v>41305</v>
      </c>
      <c r="Z942" s="1"/>
    </row>
    <row r="943" spans="3:26" x14ac:dyDescent="0.2">
      <c r="C943" s="39"/>
      <c r="D943" s="39"/>
      <c r="E943" s="38">
        <f>[2]!expavg($T$9:$T$26,$R$9:$R$26,K943,H943)</f>
        <v>0.62040838094689943</v>
      </c>
      <c r="F943" s="38" t="str">
        <f>[2]!expavg2($T$9:$T$26,I943,J943,$R$9:$R$26)</f>
        <v>ERROR: Please use BegPeriod &gt;= 1.</v>
      </c>
      <c r="H943" s="2">
        <f t="shared" si="86"/>
        <v>2</v>
      </c>
      <c r="I943" s="24">
        <f t="shared" si="90"/>
        <v>-34</v>
      </c>
      <c r="J943" s="24">
        <f t="shared" si="91"/>
        <v>3</v>
      </c>
      <c r="K943" s="17">
        <f t="shared" si="87"/>
        <v>-36</v>
      </c>
      <c r="M943" s="15">
        <f t="shared" ca="1" si="88"/>
        <v>0</v>
      </c>
      <c r="N943" s="15">
        <f t="shared" ca="1" si="89"/>
        <v>41670</v>
      </c>
      <c r="Z943" s="1"/>
    </row>
    <row r="944" spans="3:26" x14ac:dyDescent="0.2">
      <c r="C944" s="39"/>
      <c r="D944" s="39"/>
      <c r="E944" s="38">
        <f>[2]!expavg($T$9:$T$26,$R$9:$R$26,K944,H944)</f>
        <v>0.60752408974439076</v>
      </c>
      <c r="F944" s="38" t="str">
        <f>[2]!expavg2($T$9:$T$26,I944,J944,$R$9:$R$26)</f>
        <v>ERROR: Please use BegPeriod &gt;= 1.</v>
      </c>
      <c r="H944" s="2">
        <f t="shared" ref="H944:H1007" si="92">J944-1</f>
        <v>1</v>
      </c>
      <c r="I944" s="24">
        <f t="shared" si="90"/>
        <v>-34</v>
      </c>
      <c r="J944" s="24">
        <f t="shared" si="91"/>
        <v>2</v>
      </c>
      <c r="K944" s="17">
        <f t="shared" ref="K944:K1007" si="93">I944-J944+1</f>
        <v>-35</v>
      </c>
      <c r="M944" s="15">
        <f t="shared" ref="M944:M1007" ca="1" si="94">OFFSET($P$27,-I944,0)</f>
        <v>0</v>
      </c>
      <c r="N944" s="15">
        <f t="shared" ref="N944:N1007" ca="1" si="95">OFFSET($P$27,-J944,0)</f>
        <v>42035</v>
      </c>
      <c r="Z944" s="1"/>
    </row>
    <row r="945" spans="3:26" x14ac:dyDescent="0.2">
      <c r="C945" s="39"/>
      <c r="D945" s="39"/>
      <c r="E945" s="38">
        <f>[2]!expavg($T$9:$T$26,$R$9:$R$26,K945,H945)</f>
        <v>0.60472044954610527</v>
      </c>
      <c r="F945" s="38" t="str">
        <f>[2]!expavg2($T$9:$T$26,I945,J945,$R$9:$R$26)</f>
        <v>ERROR: Please use BegPeriod &gt;= 1.</v>
      </c>
      <c r="H945" s="2">
        <f t="shared" si="92"/>
        <v>0</v>
      </c>
      <c r="I945" s="24">
        <f t="shared" si="90"/>
        <v>-34</v>
      </c>
      <c r="J945" s="24">
        <f t="shared" si="91"/>
        <v>1</v>
      </c>
      <c r="K945" s="17">
        <f t="shared" si="93"/>
        <v>-34</v>
      </c>
      <c r="M945" s="15">
        <f t="shared" ca="1" si="94"/>
        <v>0</v>
      </c>
      <c r="N945" s="15">
        <f t="shared" ca="1" si="95"/>
        <v>42400</v>
      </c>
      <c r="Z945" s="1"/>
    </row>
    <row r="946" spans="3:26" x14ac:dyDescent="0.2">
      <c r="C946" s="39"/>
      <c r="D946" s="39"/>
      <c r="E946" s="38">
        <f>[2]!expavg($T$9:$T$26,$R$9:$R$26,K946,H946)</f>
        <v>0.60472044954610527</v>
      </c>
      <c r="F946" s="38" t="str">
        <f>[2]!expavg2($T$9:$T$26,I946,J946,$R$9:$R$26)</f>
        <v>ERROR: Please use BegPeriod &gt;= 1.</v>
      </c>
      <c r="H946" s="2">
        <f t="shared" si="92"/>
        <v>-1</v>
      </c>
      <c r="I946" s="24">
        <f t="shared" si="90"/>
        <v>-34</v>
      </c>
      <c r="J946" s="24">
        <f t="shared" si="91"/>
        <v>0</v>
      </c>
      <c r="K946" s="17">
        <f t="shared" si="93"/>
        <v>-33</v>
      </c>
      <c r="M946" s="15">
        <f t="shared" ca="1" si="94"/>
        <v>0</v>
      </c>
      <c r="N946" s="15">
        <f t="shared" ca="1" si="95"/>
        <v>0</v>
      </c>
      <c r="Z946" s="1"/>
    </row>
    <row r="947" spans="3:26" x14ac:dyDescent="0.2">
      <c r="C947" s="39"/>
      <c r="D947" s="39"/>
      <c r="E947" s="38">
        <f>[2]!expavg($T$9:$T$26,$R$9:$R$26,K947,H947)</f>
        <v>0.60472044954610527</v>
      </c>
      <c r="F947" s="38" t="str">
        <f>[2]!expavg2($T$9:$T$26,I947,J947,$R$9:$R$26)</f>
        <v>ERROR: Please use BegPeriod &gt;= 1.</v>
      </c>
      <c r="H947" s="2">
        <f t="shared" si="92"/>
        <v>-2</v>
      </c>
      <c r="I947" s="24">
        <f t="shared" si="90"/>
        <v>-34</v>
      </c>
      <c r="J947" s="24">
        <f t="shared" si="91"/>
        <v>-1</v>
      </c>
      <c r="K947" s="17">
        <f t="shared" si="93"/>
        <v>-32</v>
      </c>
      <c r="M947" s="15">
        <f t="shared" ca="1" si="94"/>
        <v>0</v>
      </c>
      <c r="N947" s="15">
        <f t="shared" ca="1" si="95"/>
        <v>0</v>
      </c>
      <c r="Z947" s="1"/>
    </row>
    <row r="948" spans="3:26" x14ac:dyDescent="0.2">
      <c r="C948" s="39"/>
      <c r="D948" s="39"/>
      <c r="E948" s="38">
        <f>[2]!expavg($T$9:$T$26,$R$9:$R$26,K948,H948)</f>
        <v>0.70939186407915755</v>
      </c>
      <c r="F948" s="38" t="str">
        <f>[2]!expavg2($T$9:$T$26,I948,J948,$R$9:$R$26)</f>
        <v>ERROR: Please use BegPeriod &gt;= 1.</v>
      </c>
      <c r="H948" s="2">
        <f t="shared" si="92"/>
        <v>14</v>
      </c>
      <c r="I948" s="24">
        <f t="shared" ref="I948:I1011" si="96">I931-1</f>
        <v>-35</v>
      </c>
      <c r="J948" s="24">
        <f t="shared" ref="J948:J1011" si="97">J931</f>
        <v>15</v>
      </c>
      <c r="K948" s="17">
        <f t="shared" si="93"/>
        <v>-49</v>
      </c>
      <c r="M948" s="15">
        <f t="shared" ca="1" si="94"/>
        <v>0</v>
      </c>
      <c r="N948" s="15">
        <f t="shared" ca="1" si="95"/>
        <v>37287</v>
      </c>
      <c r="Z948" s="1"/>
    </row>
    <row r="949" spans="3:26" x14ac:dyDescent="0.2">
      <c r="C949" s="39"/>
      <c r="D949" s="39"/>
      <c r="E949" s="38">
        <f>[2]!expavg($T$9:$T$26,$R$9:$R$26,K949,H949)</f>
        <v>0.67177139323204882</v>
      </c>
      <c r="F949" s="38" t="str">
        <f>[2]!expavg2($T$9:$T$26,I949,J949,$R$9:$R$26)</f>
        <v>ERROR: Please use BegPeriod &gt;= 1.</v>
      </c>
      <c r="H949" s="2">
        <f t="shared" si="92"/>
        <v>13</v>
      </c>
      <c r="I949" s="24">
        <f t="shared" si="96"/>
        <v>-35</v>
      </c>
      <c r="J949" s="24">
        <f t="shared" si="97"/>
        <v>14</v>
      </c>
      <c r="K949" s="17">
        <f t="shared" si="93"/>
        <v>-48</v>
      </c>
      <c r="M949" s="15">
        <f t="shared" ca="1" si="94"/>
        <v>0</v>
      </c>
      <c r="N949" s="15">
        <f t="shared" ca="1" si="95"/>
        <v>37652</v>
      </c>
      <c r="Z949" s="1"/>
    </row>
    <row r="950" spans="3:26" x14ac:dyDescent="0.2">
      <c r="C950" s="39"/>
      <c r="D950" s="39"/>
      <c r="E950" s="38">
        <f>[2]!expavg($T$9:$T$26,$R$9:$R$26,K950,H950)</f>
        <v>0.66945167850810816</v>
      </c>
      <c r="F950" s="38" t="str">
        <f>[2]!expavg2($T$9:$T$26,I950,J950,$R$9:$R$26)</f>
        <v>ERROR: Please use BegPeriod &gt;= 1.</v>
      </c>
      <c r="H950" s="2">
        <f t="shared" si="92"/>
        <v>12</v>
      </c>
      <c r="I950" s="24">
        <f t="shared" si="96"/>
        <v>-35</v>
      </c>
      <c r="J950" s="24">
        <f t="shared" si="97"/>
        <v>13</v>
      </c>
      <c r="K950" s="17">
        <f t="shared" si="93"/>
        <v>-47</v>
      </c>
      <c r="M950" s="15">
        <f t="shared" ca="1" si="94"/>
        <v>0</v>
      </c>
      <c r="N950" s="15">
        <f t="shared" ca="1" si="95"/>
        <v>38017</v>
      </c>
      <c r="Z950" s="1"/>
    </row>
    <row r="951" spans="3:26" x14ac:dyDescent="0.2">
      <c r="C951" s="39"/>
      <c r="D951" s="39"/>
      <c r="E951" s="38">
        <f>[2]!expavg($T$9:$T$26,$R$9:$R$26,K951,H951)</f>
        <v>0.67904388723605558</v>
      </c>
      <c r="F951" s="38" t="str">
        <f>[2]!expavg2($T$9:$T$26,I951,J951,$R$9:$R$26)</f>
        <v>ERROR: Please use BegPeriod &gt;= 1.</v>
      </c>
      <c r="H951" s="2">
        <f t="shared" si="92"/>
        <v>11</v>
      </c>
      <c r="I951" s="24">
        <f t="shared" si="96"/>
        <v>-35</v>
      </c>
      <c r="J951" s="24">
        <f t="shared" si="97"/>
        <v>12</v>
      </c>
      <c r="K951" s="17">
        <f t="shared" si="93"/>
        <v>-46</v>
      </c>
      <c r="M951" s="15">
        <f t="shared" ca="1" si="94"/>
        <v>0</v>
      </c>
      <c r="N951" s="15">
        <f t="shared" ca="1" si="95"/>
        <v>38383</v>
      </c>
      <c r="Z951" s="1"/>
    </row>
    <row r="952" spans="3:26" x14ac:dyDescent="0.2">
      <c r="C952" s="39"/>
      <c r="D952" s="39"/>
      <c r="E952" s="38">
        <f>[2]!expavg($T$9:$T$26,$R$9:$R$26,K952,H952)</f>
        <v>0.68957279758642287</v>
      </c>
      <c r="F952" s="38" t="str">
        <f>[2]!expavg2($T$9:$T$26,I952,J952,$R$9:$R$26)</f>
        <v>ERROR: Please use BegPeriod &gt;= 1.</v>
      </c>
      <c r="H952" s="2">
        <f t="shared" si="92"/>
        <v>10</v>
      </c>
      <c r="I952" s="24">
        <f t="shared" si="96"/>
        <v>-35</v>
      </c>
      <c r="J952" s="24">
        <f t="shared" si="97"/>
        <v>11</v>
      </c>
      <c r="K952" s="17">
        <f t="shared" si="93"/>
        <v>-45</v>
      </c>
      <c r="M952" s="15">
        <f t="shared" ca="1" si="94"/>
        <v>0</v>
      </c>
      <c r="N952" s="15">
        <f t="shared" ca="1" si="95"/>
        <v>38748</v>
      </c>
      <c r="Z952" s="1"/>
    </row>
    <row r="953" spans="3:26" x14ac:dyDescent="0.2">
      <c r="C953" s="39"/>
      <c r="D953" s="39"/>
      <c r="E953" s="38">
        <f>[2]!expavg($T$9:$T$26,$R$9:$R$26,K953,H953)</f>
        <v>0.67160897630855276</v>
      </c>
      <c r="F953" s="38" t="str">
        <f>[2]!expavg2($T$9:$T$26,I953,J953,$R$9:$R$26)</f>
        <v>ERROR: Please use BegPeriod &gt;= 1.</v>
      </c>
      <c r="H953" s="2">
        <f t="shared" si="92"/>
        <v>9</v>
      </c>
      <c r="I953" s="24">
        <f t="shared" si="96"/>
        <v>-35</v>
      </c>
      <c r="J953" s="24">
        <f t="shared" si="97"/>
        <v>10</v>
      </c>
      <c r="K953" s="17">
        <f t="shared" si="93"/>
        <v>-44</v>
      </c>
      <c r="M953" s="15">
        <f t="shared" ca="1" si="94"/>
        <v>0</v>
      </c>
      <c r="N953" s="15">
        <f t="shared" ca="1" si="95"/>
        <v>39113</v>
      </c>
      <c r="Z953" s="1"/>
    </row>
    <row r="954" spans="3:26" x14ac:dyDescent="0.2">
      <c r="C954" s="39"/>
      <c r="D954" s="39"/>
      <c r="E954" s="38">
        <f>[2]!expavg($T$9:$T$26,$R$9:$R$26,K954,H954)</f>
        <v>0.66527157980250695</v>
      </c>
      <c r="F954" s="38" t="str">
        <f>[2]!expavg2($T$9:$T$26,I954,J954,$R$9:$R$26)</f>
        <v>ERROR: Please use BegPeriod &gt;= 1.</v>
      </c>
      <c r="H954" s="2">
        <f t="shared" si="92"/>
        <v>8</v>
      </c>
      <c r="I954" s="24">
        <f t="shared" si="96"/>
        <v>-35</v>
      </c>
      <c r="J954" s="24">
        <f t="shared" si="97"/>
        <v>9</v>
      </c>
      <c r="K954" s="17">
        <f t="shared" si="93"/>
        <v>-43</v>
      </c>
      <c r="M954" s="15">
        <f t="shared" ca="1" si="94"/>
        <v>0</v>
      </c>
      <c r="N954" s="15">
        <f t="shared" ca="1" si="95"/>
        <v>39478</v>
      </c>
      <c r="Z954" s="1"/>
    </row>
    <row r="955" spans="3:26" x14ac:dyDescent="0.2">
      <c r="C955" s="39"/>
      <c r="D955" s="39"/>
      <c r="E955" s="38">
        <f>[2]!expavg($T$9:$T$26,$R$9:$R$26,K955,H955)</f>
        <v>0.68450987024306864</v>
      </c>
      <c r="F955" s="38" t="str">
        <f>[2]!expavg2($T$9:$T$26,I955,J955,$R$9:$R$26)</f>
        <v>ERROR: Please use BegPeriod &gt;= 1.</v>
      </c>
      <c r="H955" s="2">
        <f t="shared" si="92"/>
        <v>7</v>
      </c>
      <c r="I955" s="24">
        <f t="shared" si="96"/>
        <v>-35</v>
      </c>
      <c r="J955" s="24">
        <f t="shared" si="97"/>
        <v>8</v>
      </c>
      <c r="K955" s="17">
        <f t="shared" si="93"/>
        <v>-42</v>
      </c>
      <c r="M955" s="15">
        <f t="shared" ca="1" si="94"/>
        <v>0</v>
      </c>
      <c r="N955" s="15">
        <f t="shared" ca="1" si="95"/>
        <v>39844</v>
      </c>
      <c r="Z955" s="1"/>
    </row>
    <row r="956" spans="3:26" x14ac:dyDescent="0.2">
      <c r="C956" s="39"/>
      <c r="D956" s="39"/>
      <c r="E956" s="38">
        <f>[2]!expavg($T$9:$T$26,$R$9:$R$26,K956,H956)</f>
        <v>0.67627397338659268</v>
      </c>
      <c r="F956" s="38" t="str">
        <f>[2]!expavg2($T$9:$T$26,I956,J956,$R$9:$R$26)</f>
        <v>ERROR: Please use BegPeriod &gt;= 1.</v>
      </c>
      <c r="H956" s="2">
        <f t="shared" si="92"/>
        <v>6</v>
      </c>
      <c r="I956" s="24">
        <f t="shared" si="96"/>
        <v>-35</v>
      </c>
      <c r="J956" s="24">
        <f t="shared" si="97"/>
        <v>7</v>
      </c>
      <c r="K956" s="17">
        <f t="shared" si="93"/>
        <v>-41</v>
      </c>
      <c r="M956" s="15">
        <f t="shared" ca="1" si="94"/>
        <v>0</v>
      </c>
      <c r="N956" s="15">
        <f t="shared" ca="1" si="95"/>
        <v>40209</v>
      </c>
      <c r="Z956" s="1"/>
    </row>
    <row r="957" spans="3:26" x14ac:dyDescent="0.2">
      <c r="C957" s="39"/>
      <c r="D957" s="39"/>
      <c r="E957" s="38">
        <f>[2]!expavg($T$9:$T$26,$R$9:$R$26,K957,H957)</f>
        <v>0.66006899259190965</v>
      </c>
      <c r="F957" s="38" t="str">
        <f>[2]!expavg2($T$9:$T$26,I957,J957,$R$9:$R$26)</f>
        <v>ERROR: Please use BegPeriod &gt;= 1.</v>
      </c>
      <c r="H957" s="2">
        <f t="shared" si="92"/>
        <v>5</v>
      </c>
      <c r="I957" s="24">
        <f t="shared" si="96"/>
        <v>-35</v>
      </c>
      <c r="J957" s="24">
        <f t="shared" si="97"/>
        <v>6</v>
      </c>
      <c r="K957" s="17">
        <f t="shared" si="93"/>
        <v>-40</v>
      </c>
      <c r="M957" s="15">
        <f t="shared" ca="1" si="94"/>
        <v>0</v>
      </c>
      <c r="N957" s="15">
        <f t="shared" ca="1" si="95"/>
        <v>40574</v>
      </c>
      <c r="Z957" s="1"/>
    </row>
    <row r="958" spans="3:26" x14ac:dyDescent="0.2">
      <c r="C958" s="39"/>
      <c r="D958" s="39"/>
      <c r="E958" s="38">
        <f>[2]!expavg($T$9:$T$26,$R$9:$R$26,K958,H958)</f>
        <v>0.64048216018789683</v>
      </c>
      <c r="F958" s="38" t="str">
        <f>[2]!expavg2($T$9:$T$26,I958,J958,$R$9:$R$26)</f>
        <v>ERROR: Please use BegPeriod &gt;= 1.</v>
      </c>
      <c r="H958" s="2">
        <f t="shared" si="92"/>
        <v>4</v>
      </c>
      <c r="I958" s="24">
        <f t="shared" si="96"/>
        <v>-35</v>
      </c>
      <c r="J958" s="24">
        <f t="shared" si="97"/>
        <v>5</v>
      </c>
      <c r="K958" s="17">
        <f t="shared" si="93"/>
        <v>-39</v>
      </c>
      <c r="M958" s="15">
        <f t="shared" ca="1" si="94"/>
        <v>0</v>
      </c>
      <c r="N958" s="15">
        <f t="shared" ca="1" si="95"/>
        <v>40939</v>
      </c>
      <c r="Z958" s="1"/>
    </row>
    <row r="959" spans="3:26" x14ac:dyDescent="0.2">
      <c r="C959" s="39"/>
      <c r="D959" s="39"/>
      <c r="E959" s="38">
        <f>[2]!expavg($T$9:$T$26,$R$9:$R$26,K959,H959)</f>
        <v>0.62815488340610859</v>
      </c>
      <c r="F959" s="38" t="str">
        <f>[2]!expavg2($T$9:$T$26,I959,J959,$R$9:$R$26)</f>
        <v>ERROR: Please use BegPeriod &gt;= 1.</v>
      </c>
      <c r="H959" s="2">
        <f t="shared" si="92"/>
        <v>3</v>
      </c>
      <c r="I959" s="24">
        <f t="shared" si="96"/>
        <v>-35</v>
      </c>
      <c r="J959" s="24">
        <f t="shared" si="97"/>
        <v>4</v>
      </c>
      <c r="K959" s="17">
        <f t="shared" si="93"/>
        <v>-38</v>
      </c>
      <c r="M959" s="15">
        <f t="shared" ca="1" si="94"/>
        <v>0</v>
      </c>
      <c r="N959" s="15">
        <f t="shared" ca="1" si="95"/>
        <v>41305</v>
      </c>
      <c r="Z959" s="1"/>
    </row>
    <row r="960" spans="3:26" x14ac:dyDescent="0.2">
      <c r="C960" s="39"/>
      <c r="D960" s="39"/>
      <c r="E960" s="38">
        <f>[2]!expavg($T$9:$T$26,$R$9:$R$26,K960,H960)</f>
        <v>0.62040838094689943</v>
      </c>
      <c r="F960" s="38" t="str">
        <f>[2]!expavg2($T$9:$T$26,I960,J960,$R$9:$R$26)</f>
        <v>ERROR: Please use BegPeriod &gt;= 1.</v>
      </c>
      <c r="H960" s="2">
        <f t="shared" si="92"/>
        <v>2</v>
      </c>
      <c r="I960" s="24">
        <f t="shared" si="96"/>
        <v>-35</v>
      </c>
      <c r="J960" s="24">
        <f t="shared" si="97"/>
        <v>3</v>
      </c>
      <c r="K960" s="17">
        <f t="shared" si="93"/>
        <v>-37</v>
      </c>
      <c r="M960" s="15">
        <f t="shared" ca="1" si="94"/>
        <v>0</v>
      </c>
      <c r="N960" s="15">
        <f t="shared" ca="1" si="95"/>
        <v>41670</v>
      </c>
      <c r="Z960" s="1"/>
    </row>
    <row r="961" spans="3:26" x14ac:dyDescent="0.2">
      <c r="C961" s="39"/>
      <c r="D961" s="39"/>
      <c r="E961" s="38">
        <f>[2]!expavg($T$9:$T$26,$R$9:$R$26,K961,H961)</f>
        <v>0.60752408974439076</v>
      </c>
      <c r="F961" s="38" t="str">
        <f>[2]!expavg2($T$9:$T$26,I961,J961,$R$9:$R$26)</f>
        <v>ERROR: Please use BegPeriod &gt;= 1.</v>
      </c>
      <c r="H961" s="2">
        <f t="shared" si="92"/>
        <v>1</v>
      </c>
      <c r="I961" s="24">
        <f t="shared" si="96"/>
        <v>-35</v>
      </c>
      <c r="J961" s="24">
        <f t="shared" si="97"/>
        <v>2</v>
      </c>
      <c r="K961" s="17">
        <f t="shared" si="93"/>
        <v>-36</v>
      </c>
      <c r="M961" s="15">
        <f t="shared" ca="1" si="94"/>
        <v>0</v>
      </c>
      <c r="N961" s="15">
        <f t="shared" ca="1" si="95"/>
        <v>42035</v>
      </c>
      <c r="Z961" s="1"/>
    </row>
    <row r="962" spans="3:26" x14ac:dyDescent="0.2">
      <c r="C962" s="39"/>
      <c r="D962" s="39"/>
      <c r="E962" s="38">
        <f>[2]!expavg($T$9:$T$26,$R$9:$R$26,K962,H962)</f>
        <v>0.60472044954610527</v>
      </c>
      <c r="F962" s="38" t="str">
        <f>[2]!expavg2($T$9:$T$26,I962,J962,$R$9:$R$26)</f>
        <v>ERROR: Please use BegPeriod &gt;= 1.</v>
      </c>
      <c r="H962" s="2">
        <f t="shared" si="92"/>
        <v>0</v>
      </c>
      <c r="I962" s="24">
        <f t="shared" si="96"/>
        <v>-35</v>
      </c>
      <c r="J962" s="24">
        <f t="shared" si="97"/>
        <v>1</v>
      </c>
      <c r="K962" s="17">
        <f t="shared" si="93"/>
        <v>-35</v>
      </c>
      <c r="M962" s="15">
        <f t="shared" ca="1" si="94"/>
        <v>0</v>
      </c>
      <c r="N962" s="15">
        <f t="shared" ca="1" si="95"/>
        <v>42400</v>
      </c>
      <c r="Z962" s="1"/>
    </row>
    <row r="963" spans="3:26" x14ac:dyDescent="0.2">
      <c r="C963" s="39"/>
      <c r="D963" s="39"/>
      <c r="E963" s="38">
        <f>[2]!expavg($T$9:$T$26,$R$9:$R$26,K963,H963)</f>
        <v>0.60472044954610527</v>
      </c>
      <c r="F963" s="38" t="str">
        <f>[2]!expavg2($T$9:$T$26,I963,J963,$R$9:$R$26)</f>
        <v>ERROR: Please use BegPeriod &gt;= 1.</v>
      </c>
      <c r="H963" s="2">
        <f t="shared" si="92"/>
        <v>-1</v>
      </c>
      <c r="I963" s="24">
        <f t="shared" si="96"/>
        <v>-35</v>
      </c>
      <c r="J963" s="24">
        <f t="shared" si="97"/>
        <v>0</v>
      </c>
      <c r="K963" s="17">
        <f t="shared" si="93"/>
        <v>-34</v>
      </c>
      <c r="M963" s="15">
        <f t="shared" ca="1" si="94"/>
        <v>0</v>
      </c>
      <c r="N963" s="15">
        <f t="shared" ca="1" si="95"/>
        <v>0</v>
      </c>
      <c r="Z963" s="1"/>
    </row>
    <row r="964" spans="3:26" x14ac:dyDescent="0.2">
      <c r="C964" s="39"/>
      <c r="D964" s="39"/>
      <c r="E964" s="38">
        <f>[2]!expavg($T$9:$T$26,$R$9:$R$26,K964,H964)</f>
        <v>0.60472044954610527</v>
      </c>
      <c r="F964" s="38" t="str">
        <f>[2]!expavg2($T$9:$T$26,I964,J964,$R$9:$R$26)</f>
        <v>ERROR: Please use BegPeriod &gt;= 1.</v>
      </c>
      <c r="H964" s="2">
        <f t="shared" si="92"/>
        <v>-2</v>
      </c>
      <c r="I964" s="24">
        <f t="shared" si="96"/>
        <v>-35</v>
      </c>
      <c r="J964" s="24">
        <f t="shared" si="97"/>
        <v>-1</v>
      </c>
      <c r="K964" s="17">
        <f t="shared" si="93"/>
        <v>-33</v>
      </c>
      <c r="M964" s="15">
        <f t="shared" ca="1" si="94"/>
        <v>0</v>
      </c>
      <c r="N964" s="15">
        <f t="shared" ca="1" si="95"/>
        <v>0</v>
      </c>
      <c r="Z964" s="1"/>
    </row>
    <row r="965" spans="3:26" x14ac:dyDescent="0.2">
      <c r="C965" s="39"/>
      <c r="D965" s="39"/>
      <c r="E965" s="38">
        <f>[2]!expavg($T$9:$T$26,$R$9:$R$26,K965,H965)</f>
        <v>0.70939186407915755</v>
      </c>
      <c r="F965" s="38" t="str">
        <f>[2]!expavg2($T$9:$T$26,I965,J965,$R$9:$R$26)</f>
        <v>ERROR: Please use BegPeriod &gt;= 1.</v>
      </c>
      <c r="H965" s="2">
        <f t="shared" si="92"/>
        <v>14</v>
      </c>
      <c r="I965" s="24">
        <f t="shared" si="96"/>
        <v>-36</v>
      </c>
      <c r="J965" s="24">
        <f t="shared" si="97"/>
        <v>15</v>
      </c>
      <c r="K965" s="17">
        <f t="shared" si="93"/>
        <v>-50</v>
      </c>
      <c r="M965" s="15">
        <f t="shared" ca="1" si="94"/>
        <v>0</v>
      </c>
      <c r="N965" s="15">
        <f t="shared" ca="1" si="95"/>
        <v>37287</v>
      </c>
      <c r="Z965" s="1"/>
    </row>
    <row r="966" spans="3:26" x14ac:dyDescent="0.2">
      <c r="C966" s="39"/>
      <c r="D966" s="39"/>
      <c r="E966" s="38">
        <f>[2]!expavg($T$9:$T$26,$R$9:$R$26,K966,H966)</f>
        <v>0.67177139323204882</v>
      </c>
      <c r="F966" s="38" t="str">
        <f>[2]!expavg2($T$9:$T$26,I966,J966,$R$9:$R$26)</f>
        <v>ERROR: Please use BegPeriod &gt;= 1.</v>
      </c>
      <c r="H966" s="2">
        <f t="shared" si="92"/>
        <v>13</v>
      </c>
      <c r="I966" s="24">
        <f t="shared" si="96"/>
        <v>-36</v>
      </c>
      <c r="J966" s="24">
        <f t="shared" si="97"/>
        <v>14</v>
      </c>
      <c r="K966" s="17">
        <f t="shared" si="93"/>
        <v>-49</v>
      </c>
      <c r="M966" s="15">
        <f t="shared" ca="1" si="94"/>
        <v>0</v>
      </c>
      <c r="N966" s="15">
        <f t="shared" ca="1" si="95"/>
        <v>37652</v>
      </c>
      <c r="Z966" s="1"/>
    </row>
    <row r="967" spans="3:26" x14ac:dyDescent="0.2">
      <c r="C967" s="39"/>
      <c r="D967" s="39"/>
      <c r="E967" s="38">
        <f>[2]!expavg($T$9:$T$26,$R$9:$R$26,K967,H967)</f>
        <v>0.66945167850810816</v>
      </c>
      <c r="F967" s="38" t="str">
        <f>[2]!expavg2($T$9:$T$26,I967,J967,$R$9:$R$26)</f>
        <v>ERROR: Please use BegPeriod &gt;= 1.</v>
      </c>
      <c r="H967" s="2">
        <f t="shared" si="92"/>
        <v>12</v>
      </c>
      <c r="I967" s="24">
        <f t="shared" si="96"/>
        <v>-36</v>
      </c>
      <c r="J967" s="24">
        <f t="shared" si="97"/>
        <v>13</v>
      </c>
      <c r="K967" s="17">
        <f t="shared" si="93"/>
        <v>-48</v>
      </c>
      <c r="M967" s="15">
        <f t="shared" ca="1" si="94"/>
        <v>0</v>
      </c>
      <c r="N967" s="15">
        <f t="shared" ca="1" si="95"/>
        <v>38017</v>
      </c>
      <c r="Z967" s="1"/>
    </row>
    <row r="968" spans="3:26" x14ac:dyDescent="0.2">
      <c r="C968" s="39"/>
      <c r="D968" s="39"/>
      <c r="E968" s="38">
        <f>[2]!expavg($T$9:$T$26,$R$9:$R$26,K968,H968)</f>
        <v>0.67904388723605558</v>
      </c>
      <c r="F968" s="38" t="str">
        <f>[2]!expavg2($T$9:$T$26,I968,J968,$R$9:$R$26)</f>
        <v>ERROR: Please use BegPeriod &gt;= 1.</v>
      </c>
      <c r="H968" s="2">
        <f t="shared" si="92"/>
        <v>11</v>
      </c>
      <c r="I968" s="24">
        <f t="shared" si="96"/>
        <v>-36</v>
      </c>
      <c r="J968" s="24">
        <f t="shared" si="97"/>
        <v>12</v>
      </c>
      <c r="K968" s="17">
        <f t="shared" si="93"/>
        <v>-47</v>
      </c>
      <c r="M968" s="15">
        <f t="shared" ca="1" si="94"/>
        <v>0</v>
      </c>
      <c r="N968" s="15">
        <f t="shared" ca="1" si="95"/>
        <v>38383</v>
      </c>
      <c r="Z968" s="1"/>
    </row>
    <row r="969" spans="3:26" x14ac:dyDescent="0.2">
      <c r="C969" s="39"/>
      <c r="D969" s="39"/>
      <c r="E969" s="38">
        <f>[2]!expavg($T$9:$T$26,$R$9:$R$26,K969,H969)</f>
        <v>0.68957279758642287</v>
      </c>
      <c r="F969" s="38" t="str">
        <f>[2]!expavg2($T$9:$T$26,I969,J969,$R$9:$R$26)</f>
        <v>ERROR: Please use BegPeriod &gt;= 1.</v>
      </c>
      <c r="H969" s="2">
        <f t="shared" si="92"/>
        <v>10</v>
      </c>
      <c r="I969" s="24">
        <f t="shared" si="96"/>
        <v>-36</v>
      </c>
      <c r="J969" s="24">
        <f t="shared" si="97"/>
        <v>11</v>
      </c>
      <c r="K969" s="17">
        <f t="shared" si="93"/>
        <v>-46</v>
      </c>
      <c r="M969" s="15">
        <f t="shared" ca="1" si="94"/>
        <v>0</v>
      </c>
      <c r="N969" s="15">
        <f t="shared" ca="1" si="95"/>
        <v>38748</v>
      </c>
      <c r="Z969" s="1"/>
    </row>
    <row r="970" spans="3:26" x14ac:dyDescent="0.2">
      <c r="C970" s="39"/>
      <c r="D970" s="39"/>
      <c r="E970" s="38">
        <f>[2]!expavg($T$9:$T$26,$R$9:$R$26,K970,H970)</f>
        <v>0.67160897630855276</v>
      </c>
      <c r="F970" s="38" t="str">
        <f>[2]!expavg2($T$9:$T$26,I970,J970,$R$9:$R$26)</f>
        <v>ERROR: Please use BegPeriod &gt;= 1.</v>
      </c>
      <c r="H970" s="2">
        <f t="shared" si="92"/>
        <v>9</v>
      </c>
      <c r="I970" s="24">
        <f t="shared" si="96"/>
        <v>-36</v>
      </c>
      <c r="J970" s="24">
        <f t="shared" si="97"/>
        <v>10</v>
      </c>
      <c r="K970" s="17">
        <f t="shared" si="93"/>
        <v>-45</v>
      </c>
      <c r="M970" s="15">
        <f t="shared" ca="1" si="94"/>
        <v>0</v>
      </c>
      <c r="N970" s="15">
        <f t="shared" ca="1" si="95"/>
        <v>39113</v>
      </c>
      <c r="Z970" s="1"/>
    </row>
    <row r="971" spans="3:26" x14ac:dyDescent="0.2">
      <c r="C971" s="39"/>
      <c r="D971" s="39"/>
      <c r="E971" s="38">
        <f>[2]!expavg($T$9:$T$26,$R$9:$R$26,K971,H971)</f>
        <v>0.66527157980250695</v>
      </c>
      <c r="F971" s="38" t="str">
        <f>[2]!expavg2($T$9:$T$26,I971,J971,$R$9:$R$26)</f>
        <v>ERROR: Please use BegPeriod &gt;= 1.</v>
      </c>
      <c r="H971" s="2">
        <f t="shared" si="92"/>
        <v>8</v>
      </c>
      <c r="I971" s="24">
        <f t="shared" si="96"/>
        <v>-36</v>
      </c>
      <c r="J971" s="24">
        <f t="shared" si="97"/>
        <v>9</v>
      </c>
      <c r="K971" s="17">
        <f t="shared" si="93"/>
        <v>-44</v>
      </c>
      <c r="M971" s="15">
        <f t="shared" ca="1" si="94"/>
        <v>0</v>
      </c>
      <c r="N971" s="15">
        <f t="shared" ca="1" si="95"/>
        <v>39478</v>
      </c>
      <c r="Z971" s="1"/>
    </row>
    <row r="972" spans="3:26" x14ac:dyDescent="0.2">
      <c r="C972" s="39"/>
      <c r="D972" s="39"/>
      <c r="E972" s="38">
        <f>[2]!expavg($T$9:$T$26,$R$9:$R$26,K972,H972)</f>
        <v>0.68450987024306864</v>
      </c>
      <c r="F972" s="38" t="str">
        <f>[2]!expavg2($T$9:$T$26,I972,J972,$R$9:$R$26)</f>
        <v>ERROR: Please use BegPeriod &gt;= 1.</v>
      </c>
      <c r="H972" s="2">
        <f t="shared" si="92"/>
        <v>7</v>
      </c>
      <c r="I972" s="24">
        <f t="shared" si="96"/>
        <v>-36</v>
      </c>
      <c r="J972" s="24">
        <f t="shared" si="97"/>
        <v>8</v>
      </c>
      <c r="K972" s="17">
        <f t="shared" si="93"/>
        <v>-43</v>
      </c>
      <c r="M972" s="15">
        <f t="shared" ca="1" si="94"/>
        <v>0</v>
      </c>
      <c r="N972" s="15">
        <f t="shared" ca="1" si="95"/>
        <v>39844</v>
      </c>
      <c r="Z972" s="1"/>
    </row>
    <row r="973" spans="3:26" x14ac:dyDescent="0.2">
      <c r="C973" s="39"/>
      <c r="D973" s="39"/>
      <c r="E973" s="38">
        <f>[2]!expavg($T$9:$T$26,$R$9:$R$26,K973,H973)</f>
        <v>0.67627397338659268</v>
      </c>
      <c r="F973" s="38" t="str">
        <f>[2]!expavg2($T$9:$T$26,I973,J973,$R$9:$R$26)</f>
        <v>ERROR: Please use BegPeriod &gt;= 1.</v>
      </c>
      <c r="H973" s="2">
        <f t="shared" si="92"/>
        <v>6</v>
      </c>
      <c r="I973" s="24">
        <f t="shared" si="96"/>
        <v>-36</v>
      </c>
      <c r="J973" s="24">
        <f t="shared" si="97"/>
        <v>7</v>
      </c>
      <c r="K973" s="17">
        <f t="shared" si="93"/>
        <v>-42</v>
      </c>
      <c r="M973" s="15">
        <f t="shared" ca="1" si="94"/>
        <v>0</v>
      </c>
      <c r="N973" s="15">
        <f t="shared" ca="1" si="95"/>
        <v>40209</v>
      </c>
      <c r="Z973" s="1"/>
    </row>
    <row r="974" spans="3:26" x14ac:dyDescent="0.2">
      <c r="C974" s="39"/>
      <c r="D974" s="39"/>
      <c r="E974" s="38">
        <f>[2]!expavg($T$9:$T$26,$R$9:$R$26,K974,H974)</f>
        <v>0.66006899259190965</v>
      </c>
      <c r="F974" s="38" t="str">
        <f>[2]!expavg2($T$9:$T$26,I974,J974,$R$9:$R$26)</f>
        <v>ERROR: Please use BegPeriod &gt;= 1.</v>
      </c>
      <c r="H974" s="2">
        <f t="shared" si="92"/>
        <v>5</v>
      </c>
      <c r="I974" s="24">
        <f t="shared" si="96"/>
        <v>-36</v>
      </c>
      <c r="J974" s="24">
        <f t="shared" si="97"/>
        <v>6</v>
      </c>
      <c r="K974" s="17">
        <f t="shared" si="93"/>
        <v>-41</v>
      </c>
      <c r="M974" s="15">
        <f t="shared" ca="1" si="94"/>
        <v>0</v>
      </c>
      <c r="N974" s="15">
        <f t="shared" ca="1" si="95"/>
        <v>40574</v>
      </c>
      <c r="Z974" s="1"/>
    </row>
    <row r="975" spans="3:26" x14ac:dyDescent="0.2">
      <c r="C975" s="39"/>
      <c r="D975" s="39"/>
      <c r="E975" s="38">
        <f>[2]!expavg($T$9:$T$26,$R$9:$R$26,K975,H975)</f>
        <v>0.64048216018789683</v>
      </c>
      <c r="F975" s="38" t="str">
        <f>[2]!expavg2($T$9:$T$26,I975,J975,$R$9:$R$26)</f>
        <v>ERROR: Please use BegPeriod &gt;= 1.</v>
      </c>
      <c r="H975" s="2">
        <f t="shared" si="92"/>
        <v>4</v>
      </c>
      <c r="I975" s="24">
        <f t="shared" si="96"/>
        <v>-36</v>
      </c>
      <c r="J975" s="24">
        <f t="shared" si="97"/>
        <v>5</v>
      </c>
      <c r="K975" s="17">
        <f t="shared" si="93"/>
        <v>-40</v>
      </c>
      <c r="M975" s="15">
        <f t="shared" ca="1" si="94"/>
        <v>0</v>
      </c>
      <c r="N975" s="15">
        <f t="shared" ca="1" si="95"/>
        <v>40939</v>
      </c>
      <c r="Z975" s="1"/>
    </row>
    <row r="976" spans="3:26" x14ac:dyDescent="0.2">
      <c r="C976" s="39"/>
      <c r="D976" s="39"/>
      <c r="E976" s="38">
        <f>[2]!expavg($T$9:$T$26,$R$9:$R$26,K976,H976)</f>
        <v>0.62815488340610859</v>
      </c>
      <c r="F976" s="38" t="str">
        <f>[2]!expavg2($T$9:$T$26,I976,J976,$R$9:$R$26)</f>
        <v>ERROR: Please use BegPeriod &gt;= 1.</v>
      </c>
      <c r="H976" s="2">
        <f t="shared" si="92"/>
        <v>3</v>
      </c>
      <c r="I976" s="24">
        <f t="shared" si="96"/>
        <v>-36</v>
      </c>
      <c r="J976" s="24">
        <f t="shared" si="97"/>
        <v>4</v>
      </c>
      <c r="K976" s="17">
        <f t="shared" si="93"/>
        <v>-39</v>
      </c>
      <c r="M976" s="15">
        <f t="shared" ca="1" si="94"/>
        <v>0</v>
      </c>
      <c r="N976" s="15">
        <f t="shared" ca="1" si="95"/>
        <v>41305</v>
      </c>
      <c r="Z976" s="1"/>
    </row>
    <row r="977" spans="3:26" x14ac:dyDescent="0.2">
      <c r="C977" s="39"/>
      <c r="D977" s="39"/>
      <c r="E977" s="38">
        <f>[2]!expavg($T$9:$T$26,$R$9:$R$26,K977,H977)</f>
        <v>0.62040838094689943</v>
      </c>
      <c r="F977" s="38" t="str">
        <f>[2]!expavg2($T$9:$T$26,I977,J977,$R$9:$R$26)</f>
        <v>ERROR: Please use BegPeriod &gt;= 1.</v>
      </c>
      <c r="H977" s="2">
        <f t="shared" si="92"/>
        <v>2</v>
      </c>
      <c r="I977" s="24">
        <f t="shared" si="96"/>
        <v>-36</v>
      </c>
      <c r="J977" s="24">
        <f t="shared" si="97"/>
        <v>3</v>
      </c>
      <c r="K977" s="17">
        <f t="shared" si="93"/>
        <v>-38</v>
      </c>
      <c r="M977" s="15">
        <f t="shared" ca="1" si="94"/>
        <v>0</v>
      </c>
      <c r="N977" s="15">
        <f t="shared" ca="1" si="95"/>
        <v>41670</v>
      </c>
      <c r="Z977" s="1"/>
    </row>
    <row r="978" spans="3:26" x14ac:dyDescent="0.2">
      <c r="C978" s="39"/>
      <c r="D978" s="39"/>
      <c r="E978" s="38">
        <f>[2]!expavg($T$9:$T$26,$R$9:$R$26,K978,H978)</f>
        <v>0.60752408974439076</v>
      </c>
      <c r="F978" s="38" t="str">
        <f>[2]!expavg2($T$9:$T$26,I978,J978,$R$9:$R$26)</f>
        <v>ERROR: Please use BegPeriod &gt;= 1.</v>
      </c>
      <c r="H978" s="2">
        <f t="shared" si="92"/>
        <v>1</v>
      </c>
      <c r="I978" s="24">
        <f t="shared" si="96"/>
        <v>-36</v>
      </c>
      <c r="J978" s="24">
        <f t="shared" si="97"/>
        <v>2</v>
      </c>
      <c r="K978" s="17">
        <f t="shared" si="93"/>
        <v>-37</v>
      </c>
      <c r="M978" s="15">
        <f t="shared" ca="1" si="94"/>
        <v>0</v>
      </c>
      <c r="N978" s="15">
        <f t="shared" ca="1" si="95"/>
        <v>42035</v>
      </c>
      <c r="Z978" s="1"/>
    </row>
    <row r="979" spans="3:26" x14ac:dyDescent="0.2">
      <c r="C979" s="39"/>
      <c r="D979" s="39"/>
      <c r="E979" s="38">
        <f>[2]!expavg($T$9:$T$26,$R$9:$R$26,K979,H979)</f>
        <v>0.60472044954610527</v>
      </c>
      <c r="F979" s="38" t="str">
        <f>[2]!expavg2($T$9:$T$26,I979,J979,$R$9:$R$26)</f>
        <v>ERROR: Please use BegPeriod &gt;= 1.</v>
      </c>
      <c r="H979" s="2">
        <f t="shared" si="92"/>
        <v>0</v>
      </c>
      <c r="I979" s="24">
        <f t="shared" si="96"/>
        <v>-36</v>
      </c>
      <c r="J979" s="24">
        <f t="shared" si="97"/>
        <v>1</v>
      </c>
      <c r="K979" s="17">
        <f t="shared" si="93"/>
        <v>-36</v>
      </c>
      <c r="M979" s="15">
        <f t="shared" ca="1" si="94"/>
        <v>0</v>
      </c>
      <c r="N979" s="15">
        <f t="shared" ca="1" si="95"/>
        <v>42400</v>
      </c>
      <c r="Z979" s="1"/>
    </row>
    <row r="980" spans="3:26" x14ac:dyDescent="0.2">
      <c r="C980" s="39"/>
      <c r="D980" s="39"/>
      <c r="E980" s="38">
        <f>[2]!expavg($T$9:$T$26,$R$9:$R$26,K980,H980)</f>
        <v>0.60472044954610527</v>
      </c>
      <c r="F980" s="38" t="str">
        <f>[2]!expavg2($T$9:$T$26,I980,J980,$R$9:$R$26)</f>
        <v>ERROR: Please use BegPeriod &gt;= 1.</v>
      </c>
      <c r="H980" s="2">
        <f t="shared" si="92"/>
        <v>-1</v>
      </c>
      <c r="I980" s="24">
        <f t="shared" si="96"/>
        <v>-36</v>
      </c>
      <c r="J980" s="24">
        <f t="shared" si="97"/>
        <v>0</v>
      </c>
      <c r="K980" s="17">
        <f t="shared" si="93"/>
        <v>-35</v>
      </c>
      <c r="M980" s="15">
        <f t="shared" ca="1" si="94"/>
        <v>0</v>
      </c>
      <c r="N980" s="15">
        <f t="shared" ca="1" si="95"/>
        <v>0</v>
      </c>
      <c r="Z980" s="1"/>
    </row>
    <row r="981" spans="3:26" x14ac:dyDescent="0.2">
      <c r="C981" s="39"/>
      <c r="D981" s="39"/>
      <c r="E981" s="38">
        <f>[2]!expavg($T$9:$T$26,$R$9:$R$26,K981,H981)</f>
        <v>0.60472044954610527</v>
      </c>
      <c r="F981" s="38" t="str">
        <f>[2]!expavg2($T$9:$T$26,I981,J981,$R$9:$R$26)</f>
        <v>ERROR: Please use BegPeriod &gt;= 1.</v>
      </c>
      <c r="H981" s="2">
        <f t="shared" si="92"/>
        <v>-2</v>
      </c>
      <c r="I981" s="24">
        <f t="shared" si="96"/>
        <v>-36</v>
      </c>
      <c r="J981" s="24">
        <f t="shared" si="97"/>
        <v>-1</v>
      </c>
      <c r="K981" s="17">
        <f t="shared" si="93"/>
        <v>-34</v>
      </c>
      <c r="M981" s="15">
        <f t="shared" ca="1" si="94"/>
        <v>0</v>
      </c>
      <c r="N981" s="15">
        <f t="shared" ca="1" si="95"/>
        <v>0</v>
      </c>
      <c r="Z981" s="1"/>
    </row>
    <row r="982" spans="3:26" x14ac:dyDescent="0.2">
      <c r="C982" s="39"/>
      <c r="D982" s="39"/>
      <c r="E982" s="38">
        <f>[2]!expavg($T$9:$T$26,$R$9:$R$26,K982,H982)</f>
        <v>0.70939186407915755</v>
      </c>
      <c r="F982" s="38" t="str">
        <f>[2]!expavg2($T$9:$T$26,I982,J982,$R$9:$R$26)</f>
        <v>ERROR: Please use BegPeriod &gt;= 1.</v>
      </c>
      <c r="H982" s="2">
        <f t="shared" si="92"/>
        <v>14</v>
      </c>
      <c r="I982" s="24">
        <f t="shared" si="96"/>
        <v>-37</v>
      </c>
      <c r="J982" s="24">
        <f t="shared" si="97"/>
        <v>15</v>
      </c>
      <c r="K982" s="17">
        <f t="shared" si="93"/>
        <v>-51</v>
      </c>
      <c r="M982" s="15">
        <f t="shared" ca="1" si="94"/>
        <v>0</v>
      </c>
      <c r="N982" s="15">
        <f t="shared" ca="1" si="95"/>
        <v>37287</v>
      </c>
      <c r="Z982" s="1"/>
    </row>
    <row r="983" spans="3:26" x14ac:dyDescent="0.2">
      <c r="C983" s="39"/>
      <c r="D983" s="39"/>
      <c r="E983" s="38">
        <f>[2]!expavg($T$9:$T$26,$R$9:$R$26,K983,H983)</f>
        <v>0.67177139323204882</v>
      </c>
      <c r="F983" s="38" t="str">
        <f>[2]!expavg2($T$9:$T$26,I983,J983,$R$9:$R$26)</f>
        <v>ERROR: Please use BegPeriod &gt;= 1.</v>
      </c>
      <c r="H983" s="2">
        <f t="shared" si="92"/>
        <v>13</v>
      </c>
      <c r="I983" s="24">
        <f t="shared" si="96"/>
        <v>-37</v>
      </c>
      <c r="J983" s="24">
        <f t="shared" si="97"/>
        <v>14</v>
      </c>
      <c r="K983" s="17">
        <f t="shared" si="93"/>
        <v>-50</v>
      </c>
      <c r="M983" s="15">
        <f t="shared" ca="1" si="94"/>
        <v>0</v>
      </c>
      <c r="N983" s="15">
        <f t="shared" ca="1" si="95"/>
        <v>37652</v>
      </c>
      <c r="Z983" s="1"/>
    </row>
    <row r="984" spans="3:26" x14ac:dyDescent="0.2">
      <c r="C984" s="39"/>
      <c r="D984" s="39"/>
      <c r="E984" s="38">
        <f>[2]!expavg($T$9:$T$26,$R$9:$R$26,K984,H984)</f>
        <v>0.66945167850810816</v>
      </c>
      <c r="F984" s="38" t="str">
        <f>[2]!expavg2($T$9:$T$26,I984,J984,$R$9:$R$26)</f>
        <v>ERROR: Please use BegPeriod &gt;= 1.</v>
      </c>
      <c r="H984" s="2">
        <f t="shared" si="92"/>
        <v>12</v>
      </c>
      <c r="I984" s="24">
        <f t="shared" si="96"/>
        <v>-37</v>
      </c>
      <c r="J984" s="24">
        <f t="shared" si="97"/>
        <v>13</v>
      </c>
      <c r="K984" s="17">
        <f t="shared" si="93"/>
        <v>-49</v>
      </c>
      <c r="M984" s="15">
        <f t="shared" ca="1" si="94"/>
        <v>0</v>
      </c>
      <c r="N984" s="15">
        <f t="shared" ca="1" si="95"/>
        <v>38017</v>
      </c>
      <c r="Z984" s="1"/>
    </row>
    <row r="985" spans="3:26" x14ac:dyDescent="0.2">
      <c r="C985" s="39"/>
      <c r="D985" s="39"/>
      <c r="E985" s="38">
        <f>[2]!expavg($T$9:$T$26,$R$9:$R$26,K985,H985)</f>
        <v>0.67904388723605558</v>
      </c>
      <c r="F985" s="38" t="str">
        <f>[2]!expavg2($T$9:$T$26,I985,J985,$R$9:$R$26)</f>
        <v>ERROR: Please use BegPeriod &gt;= 1.</v>
      </c>
      <c r="H985" s="2">
        <f t="shared" si="92"/>
        <v>11</v>
      </c>
      <c r="I985" s="24">
        <f t="shared" si="96"/>
        <v>-37</v>
      </c>
      <c r="J985" s="24">
        <f t="shared" si="97"/>
        <v>12</v>
      </c>
      <c r="K985" s="17">
        <f t="shared" si="93"/>
        <v>-48</v>
      </c>
      <c r="M985" s="15">
        <f t="shared" ca="1" si="94"/>
        <v>0</v>
      </c>
      <c r="N985" s="15">
        <f t="shared" ca="1" si="95"/>
        <v>38383</v>
      </c>
      <c r="Z985" s="1"/>
    </row>
    <row r="986" spans="3:26" x14ac:dyDescent="0.2">
      <c r="C986" s="39"/>
      <c r="D986" s="39"/>
      <c r="E986" s="38">
        <f>[2]!expavg($T$9:$T$26,$R$9:$R$26,K986,H986)</f>
        <v>0.68957279758642287</v>
      </c>
      <c r="F986" s="38" t="str">
        <f>[2]!expavg2($T$9:$T$26,I986,J986,$R$9:$R$26)</f>
        <v>ERROR: Please use BegPeriod &gt;= 1.</v>
      </c>
      <c r="H986" s="2">
        <f t="shared" si="92"/>
        <v>10</v>
      </c>
      <c r="I986" s="24">
        <f t="shared" si="96"/>
        <v>-37</v>
      </c>
      <c r="J986" s="24">
        <f t="shared" si="97"/>
        <v>11</v>
      </c>
      <c r="K986" s="17">
        <f t="shared" si="93"/>
        <v>-47</v>
      </c>
      <c r="M986" s="15">
        <f t="shared" ca="1" si="94"/>
        <v>0</v>
      </c>
      <c r="N986" s="15">
        <f t="shared" ca="1" si="95"/>
        <v>38748</v>
      </c>
      <c r="Z986" s="1"/>
    </row>
    <row r="987" spans="3:26" x14ac:dyDescent="0.2">
      <c r="C987" s="39"/>
      <c r="D987" s="39"/>
      <c r="E987" s="38">
        <f>[2]!expavg($T$9:$T$26,$R$9:$R$26,K987,H987)</f>
        <v>0.67160897630855276</v>
      </c>
      <c r="F987" s="38" t="str">
        <f>[2]!expavg2($T$9:$T$26,I987,J987,$R$9:$R$26)</f>
        <v>ERROR: Please use BegPeriod &gt;= 1.</v>
      </c>
      <c r="H987" s="2">
        <f t="shared" si="92"/>
        <v>9</v>
      </c>
      <c r="I987" s="24">
        <f t="shared" si="96"/>
        <v>-37</v>
      </c>
      <c r="J987" s="24">
        <f t="shared" si="97"/>
        <v>10</v>
      </c>
      <c r="K987" s="17">
        <f t="shared" si="93"/>
        <v>-46</v>
      </c>
      <c r="M987" s="15">
        <f t="shared" ca="1" si="94"/>
        <v>0</v>
      </c>
      <c r="N987" s="15">
        <f t="shared" ca="1" si="95"/>
        <v>39113</v>
      </c>
      <c r="Z987" s="1"/>
    </row>
    <row r="988" spans="3:26" x14ac:dyDescent="0.2">
      <c r="C988" s="39"/>
      <c r="D988" s="39"/>
      <c r="E988" s="38">
        <f>[2]!expavg($T$9:$T$26,$R$9:$R$26,K988,H988)</f>
        <v>0.66527157980250695</v>
      </c>
      <c r="F988" s="38" t="str">
        <f>[2]!expavg2($T$9:$T$26,I988,J988,$R$9:$R$26)</f>
        <v>ERROR: Please use BegPeriod &gt;= 1.</v>
      </c>
      <c r="H988" s="2">
        <f t="shared" si="92"/>
        <v>8</v>
      </c>
      <c r="I988" s="24">
        <f t="shared" si="96"/>
        <v>-37</v>
      </c>
      <c r="J988" s="24">
        <f t="shared" si="97"/>
        <v>9</v>
      </c>
      <c r="K988" s="17">
        <f t="shared" si="93"/>
        <v>-45</v>
      </c>
      <c r="M988" s="15">
        <f t="shared" ca="1" si="94"/>
        <v>0</v>
      </c>
      <c r="N988" s="15">
        <f t="shared" ca="1" si="95"/>
        <v>39478</v>
      </c>
      <c r="Z988" s="1"/>
    </row>
    <row r="989" spans="3:26" x14ac:dyDescent="0.2">
      <c r="C989" s="39"/>
      <c r="D989" s="39"/>
      <c r="E989" s="38">
        <f>[2]!expavg($T$9:$T$26,$R$9:$R$26,K989,H989)</f>
        <v>0.68450987024306864</v>
      </c>
      <c r="F989" s="38" t="str">
        <f>[2]!expavg2($T$9:$T$26,I989,J989,$R$9:$R$26)</f>
        <v>ERROR: Please use BegPeriod &gt;= 1.</v>
      </c>
      <c r="H989" s="2">
        <f t="shared" si="92"/>
        <v>7</v>
      </c>
      <c r="I989" s="24">
        <f t="shared" si="96"/>
        <v>-37</v>
      </c>
      <c r="J989" s="24">
        <f t="shared" si="97"/>
        <v>8</v>
      </c>
      <c r="K989" s="17">
        <f t="shared" si="93"/>
        <v>-44</v>
      </c>
      <c r="M989" s="15">
        <f t="shared" ca="1" si="94"/>
        <v>0</v>
      </c>
      <c r="N989" s="15">
        <f t="shared" ca="1" si="95"/>
        <v>39844</v>
      </c>
      <c r="Z989" s="1"/>
    </row>
    <row r="990" spans="3:26" x14ac:dyDescent="0.2">
      <c r="C990" s="39"/>
      <c r="D990" s="39"/>
      <c r="E990" s="38">
        <f>[2]!expavg($T$9:$T$26,$R$9:$R$26,K990,H990)</f>
        <v>0.67627397338659268</v>
      </c>
      <c r="F990" s="38" t="str">
        <f>[2]!expavg2($T$9:$T$26,I990,J990,$R$9:$R$26)</f>
        <v>ERROR: Please use BegPeriod &gt;= 1.</v>
      </c>
      <c r="H990" s="2">
        <f t="shared" si="92"/>
        <v>6</v>
      </c>
      <c r="I990" s="24">
        <f t="shared" si="96"/>
        <v>-37</v>
      </c>
      <c r="J990" s="24">
        <f t="shared" si="97"/>
        <v>7</v>
      </c>
      <c r="K990" s="17">
        <f t="shared" si="93"/>
        <v>-43</v>
      </c>
      <c r="M990" s="15">
        <f t="shared" ca="1" si="94"/>
        <v>0</v>
      </c>
      <c r="N990" s="15">
        <f t="shared" ca="1" si="95"/>
        <v>40209</v>
      </c>
      <c r="Z990" s="1"/>
    </row>
    <row r="991" spans="3:26" x14ac:dyDescent="0.2">
      <c r="C991" s="39"/>
      <c r="D991" s="39"/>
      <c r="E991" s="38">
        <f>[2]!expavg($T$9:$T$26,$R$9:$R$26,K991,H991)</f>
        <v>0.66006899259190965</v>
      </c>
      <c r="F991" s="38" t="str">
        <f>[2]!expavg2($T$9:$T$26,I991,J991,$R$9:$R$26)</f>
        <v>ERROR: Please use BegPeriod &gt;= 1.</v>
      </c>
      <c r="H991" s="2">
        <f t="shared" si="92"/>
        <v>5</v>
      </c>
      <c r="I991" s="24">
        <f t="shared" si="96"/>
        <v>-37</v>
      </c>
      <c r="J991" s="24">
        <f t="shared" si="97"/>
        <v>6</v>
      </c>
      <c r="K991" s="17">
        <f t="shared" si="93"/>
        <v>-42</v>
      </c>
      <c r="M991" s="15">
        <f t="shared" ca="1" si="94"/>
        <v>0</v>
      </c>
      <c r="N991" s="15">
        <f t="shared" ca="1" si="95"/>
        <v>40574</v>
      </c>
      <c r="Z991" s="1"/>
    </row>
    <row r="992" spans="3:26" x14ac:dyDescent="0.2">
      <c r="C992" s="39"/>
      <c r="D992" s="39"/>
      <c r="E992" s="38">
        <f>[2]!expavg($T$9:$T$26,$R$9:$R$26,K992,H992)</f>
        <v>0.64048216018789683</v>
      </c>
      <c r="F992" s="38" t="str">
        <f>[2]!expavg2($T$9:$T$26,I992,J992,$R$9:$R$26)</f>
        <v>ERROR: Please use BegPeriod &gt;= 1.</v>
      </c>
      <c r="H992" s="2">
        <f t="shared" si="92"/>
        <v>4</v>
      </c>
      <c r="I992" s="24">
        <f t="shared" si="96"/>
        <v>-37</v>
      </c>
      <c r="J992" s="24">
        <f t="shared" si="97"/>
        <v>5</v>
      </c>
      <c r="K992" s="17">
        <f t="shared" si="93"/>
        <v>-41</v>
      </c>
      <c r="M992" s="15">
        <f t="shared" ca="1" si="94"/>
        <v>0</v>
      </c>
      <c r="N992" s="15">
        <f t="shared" ca="1" si="95"/>
        <v>40939</v>
      </c>
      <c r="Z992" s="1"/>
    </row>
    <row r="993" spans="3:26" x14ac:dyDescent="0.2">
      <c r="C993" s="39"/>
      <c r="D993" s="39"/>
      <c r="E993" s="38">
        <f>[2]!expavg($T$9:$T$26,$R$9:$R$26,K993,H993)</f>
        <v>0.62815488340610859</v>
      </c>
      <c r="F993" s="38" t="str">
        <f>[2]!expavg2($T$9:$T$26,I993,J993,$R$9:$R$26)</f>
        <v>ERROR: Please use BegPeriod &gt;= 1.</v>
      </c>
      <c r="H993" s="2">
        <f t="shared" si="92"/>
        <v>3</v>
      </c>
      <c r="I993" s="24">
        <f t="shared" si="96"/>
        <v>-37</v>
      </c>
      <c r="J993" s="24">
        <f t="shared" si="97"/>
        <v>4</v>
      </c>
      <c r="K993" s="17">
        <f t="shared" si="93"/>
        <v>-40</v>
      </c>
      <c r="M993" s="15">
        <f t="shared" ca="1" si="94"/>
        <v>0</v>
      </c>
      <c r="N993" s="15">
        <f t="shared" ca="1" si="95"/>
        <v>41305</v>
      </c>
      <c r="Z993" s="1"/>
    </row>
    <row r="994" spans="3:26" x14ac:dyDescent="0.2">
      <c r="C994" s="39"/>
      <c r="D994" s="39"/>
      <c r="E994" s="38">
        <f>[2]!expavg($T$9:$T$26,$R$9:$R$26,K994,H994)</f>
        <v>0.62040838094689943</v>
      </c>
      <c r="F994" s="38" t="str">
        <f>[2]!expavg2($T$9:$T$26,I994,J994,$R$9:$R$26)</f>
        <v>ERROR: Please use BegPeriod &gt;= 1.</v>
      </c>
      <c r="H994" s="2">
        <f t="shared" si="92"/>
        <v>2</v>
      </c>
      <c r="I994" s="24">
        <f t="shared" si="96"/>
        <v>-37</v>
      </c>
      <c r="J994" s="24">
        <f t="shared" si="97"/>
        <v>3</v>
      </c>
      <c r="K994" s="17">
        <f t="shared" si="93"/>
        <v>-39</v>
      </c>
      <c r="M994" s="15">
        <f t="shared" ca="1" si="94"/>
        <v>0</v>
      </c>
      <c r="N994" s="15">
        <f t="shared" ca="1" si="95"/>
        <v>41670</v>
      </c>
      <c r="Z994" s="1"/>
    </row>
    <row r="995" spans="3:26" x14ac:dyDescent="0.2">
      <c r="C995" s="39"/>
      <c r="D995" s="39"/>
      <c r="E995" s="38">
        <f>[2]!expavg($T$9:$T$26,$R$9:$R$26,K995,H995)</f>
        <v>0.60752408974439076</v>
      </c>
      <c r="F995" s="38" t="str">
        <f>[2]!expavg2($T$9:$T$26,I995,J995,$R$9:$R$26)</f>
        <v>ERROR: Please use BegPeriod &gt;= 1.</v>
      </c>
      <c r="H995" s="2">
        <f t="shared" si="92"/>
        <v>1</v>
      </c>
      <c r="I995" s="24">
        <f t="shared" si="96"/>
        <v>-37</v>
      </c>
      <c r="J995" s="24">
        <f t="shared" si="97"/>
        <v>2</v>
      </c>
      <c r="K995" s="17">
        <f t="shared" si="93"/>
        <v>-38</v>
      </c>
      <c r="M995" s="15">
        <f t="shared" ca="1" si="94"/>
        <v>0</v>
      </c>
      <c r="N995" s="15">
        <f t="shared" ca="1" si="95"/>
        <v>42035</v>
      </c>
      <c r="Z995" s="1"/>
    </row>
    <row r="996" spans="3:26" x14ac:dyDescent="0.2">
      <c r="C996" s="39"/>
      <c r="D996" s="39"/>
      <c r="E996" s="38">
        <f>[2]!expavg($T$9:$T$26,$R$9:$R$26,K996,H996)</f>
        <v>0.60472044954610527</v>
      </c>
      <c r="F996" s="38" t="str">
        <f>[2]!expavg2($T$9:$T$26,I996,J996,$R$9:$R$26)</f>
        <v>ERROR: Please use BegPeriod &gt;= 1.</v>
      </c>
      <c r="H996" s="2">
        <f t="shared" si="92"/>
        <v>0</v>
      </c>
      <c r="I996" s="24">
        <f t="shared" si="96"/>
        <v>-37</v>
      </c>
      <c r="J996" s="24">
        <f t="shared" si="97"/>
        <v>1</v>
      </c>
      <c r="K996" s="17">
        <f t="shared" si="93"/>
        <v>-37</v>
      </c>
      <c r="M996" s="15">
        <f t="shared" ca="1" si="94"/>
        <v>0</v>
      </c>
      <c r="N996" s="15">
        <f t="shared" ca="1" si="95"/>
        <v>42400</v>
      </c>
      <c r="Z996" s="1"/>
    </row>
    <row r="997" spans="3:26" x14ac:dyDescent="0.2">
      <c r="C997" s="39"/>
      <c r="D997" s="39"/>
      <c r="E997" s="38">
        <f>[2]!expavg($T$9:$T$26,$R$9:$R$26,K997,H997)</f>
        <v>0.60472044954610527</v>
      </c>
      <c r="F997" s="38" t="str">
        <f>[2]!expavg2($T$9:$T$26,I997,J997,$R$9:$R$26)</f>
        <v>ERROR: Please use BegPeriod &gt;= 1.</v>
      </c>
      <c r="H997" s="2">
        <f t="shared" si="92"/>
        <v>-1</v>
      </c>
      <c r="I997" s="24">
        <f t="shared" si="96"/>
        <v>-37</v>
      </c>
      <c r="J997" s="24">
        <f t="shared" si="97"/>
        <v>0</v>
      </c>
      <c r="K997" s="17">
        <f t="shared" si="93"/>
        <v>-36</v>
      </c>
      <c r="M997" s="15">
        <f t="shared" ca="1" si="94"/>
        <v>0</v>
      </c>
      <c r="N997" s="15">
        <f t="shared" ca="1" si="95"/>
        <v>0</v>
      </c>
      <c r="Z997" s="1"/>
    </row>
    <row r="998" spans="3:26" x14ac:dyDescent="0.2">
      <c r="C998" s="39"/>
      <c r="D998" s="39"/>
      <c r="E998" s="38">
        <f>[2]!expavg($T$9:$T$26,$R$9:$R$26,K998,H998)</f>
        <v>0.60472044954610527</v>
      </c>
      <c r="F998" s="38" t="str">
        <f>[2]!expavg2($T$9:$T$26,I998,J998,$R$9:$R$26)</f>
        <v>ERROR: Please use BegPeriod &gt;= 1.</v>
      </c>
      <c r="H998" s="2">
        <f t="shared" si="92"/>
        <v>-2</v>
      </c>
      <c r="I998" s="24">
        <f t="shared" si="96"/>
        <v>-37</v>
      </c>
      <c r="J998" s="24">
        <f t="shared" si="97"/>
        <v>-1</v>
      </c>
      <c r="K998" s="17">
        <f t="shared" si="93"/>
        <v>-35</v>
      </c>
      <c r="M998" s="15">
        <f t="shared" ca="1" si="94"/>
        <v>0</v>
      </c>
      <c r="N998" s="15">
        <f t="shared" ca="1" si="95"/>
        <v>0</v>
      </c>
      <c r="Z998" s="1"/>
    </row>
    <row r="999" spans="3:26" x14ac:dyDescent="0.2">
      <c r="C999" s="39"/>
      <c r="D999" s="39"/>
      <c r="E999" s="38">
        <f>[2]!expavg($T$9:$T$26,$R$9:$R$26,K999,H999)</f>
        <v>0.70939186407915755</v>
      </c>
      <c r="F999" s="38" t="str">
        <f>[2]!expavg2($T$9:$T$26,I999,J999,$R$9:$R$26)</f>
        <v>ERROR: Please use BegPeriod &gt;= 1.</v>
      </c>
      <c r="H999" s="2">
        <f t="shared" si="92"/>
        <v>14</v>
      </c>
      <c r="I999" s="24">
        <f t="shared" si="96"/>
        <v>-38</v>
      </c>
      <c r="J999" s="24">
        <f t="shared" si="97"/>
        <v>15</v>
      </c>
      <c r="K999" s="17">
        <f t="shared" si="93"/>
        <v>-52</v>
      </c>
      <c r="M999" s="15">
        <f t="shared" ca="1" si="94"/>
        <v>0</v>
      </c>
      <c r="N999" s="15">
        <f t="shared" ca="1" si="95"/>
        <v>37287</v>
      </c>
      <c r="Z999" s="1"/>
    </row>
    <row r="1000" spans="3:26" x14ac:dyDescent="0.2">
      <c r="C1000" s="39"/>
      <c r="D1000" s="39"/>
      <c r="E1000" s="38">
        <f>[2]!expavg($T$9:$T$26,$R$9:$R$26,K1000,H1000)</f>
        <v>0.67177139323204882</v>
      </c>
      <c r="F1000" s="38" t="str">
        <f>[2]!expavg2($T$9:$T$26,I1000,J1000,$R$9:$R$26)</f>
        <v>ERROR: Please use BegPeriod &gt;= 1.</v>
      </c>
      <c r="H1000" s="2">
        <f t="shared" si="92"/>
        <v>13</v>
      </c>
      <c r="I1000" s="24">
        <f t="shared" si="96"/>
        <v>-38</v>
      </c>
      <c r="J1000" s="24">
        <f t="shared" si="97"/>
        <v>14</v>
      </c>
      <c r="K1000" s="17">
        <f t="shared" si="93"/>
        <v>-51</v>
      </c>
      <c r="M1000" s="15">
        <f t="shared" ca="1" si="94"/>
        <v>0</v>
      </c>
      <c r="N1000" s="15">
        <f t="shared" ca="1" si="95"/>
        <v>37652</v>
      </c>
      <c r="Z1000" s="1"/>
    </row>
    <row r="1001" spans="3:26" x14ac:dyDescent="0.2">
      <c r="C1001" s="39"/>
      <c r="D1001" s="39"/>
      <c r="E1001" s="38">
        <f>[2]!expavg($T$9:$T$26,$R$9:$R$26,K1001,H1001)</f>
        <v>0.66945167850810816</v>
      </c>
      <c r="F1001" s="38" t="str">
        <f>[2]!expavg2($T$9:$T$26,I1001,J1001,$R$9:$R$26)</f>
        <v>ERROR: Please use BegPeriod &gt;= 1.</v>
      </c>
      <c r="H1001" s="2">
        <f t="shared" si="92"/>
        <v>12</v>
      </c>
      <c r="I1001" s="24">
        <f t="shared" si="96"/>
        <v>-38</v>
      </c>
      <c r="J1001" s="24">
        <f t="shared" si="97"/>
        <v>13</v>
      </c>
      <c r="K1001" s="17">
        <f t="shared" si="93"/>
        <v>-50</v>
      </c>
      <c r="M1001" s="15">
        <f t="shared" ca="1" si="94"/>
        <v>0</v>
      </c>
      <c r="N1001" s="15">
        <f t="shared" ca="1" si="95"/>
        <v>38017</v>
      </c>
      <c r="Z1001" s="1"/>
    </row>
    <row r="1002" spans="3:26" x14ac:dyDescent="0.2">
      <c r="C1002" s="39"/>
      <c r="D1002" s="39"/>
      <c r="E1002" s="38">
        <f>[2]!expavg($T$9:$T$26,$R$9:$R$26,K1002,H1002)</f>
        <v>0.67904388723605558</v>
      </c>
      <c r="F1002" s="38" t="str">
        <f>[2]!expavg2($T$9:$T$26,I1002,J1002,$R$9:$R$26)</f>
        <v>ERROR: Please use BegPeriod &gt;= 1.</v>
      </c>
      <c r="H1002" s="2">
        <f t="shared" si="92"/>
        <v>11</v>
      </c>
      <c r="I1002" s="24">
        <f t="shared" si="96"/>
        <v>-38</v>
      </c>
      <c r="J1002" s="24">
        <f t="shared" si="97"/>
        <v>12</v>
      </c>
      <c r="K1002" s="17">
        <f t="shared" si="93"/>
        <v>-49</v>
      </c>
      <c r="M1002" s="15">
        <f t="shared" ca="1" si="94"/>
        <v>0</v>
      </c>
      <c r="N1002" s="15">
        <f t="shared" ca="1" si="95"/>
        <v>38383</v>
      </c>
      <c r="Z1002" s="1"/>
    </row>
    <row r="1003" spans="3:26" x14ac:dyDescent="0.2">
      <c r="C1003" s="39"/>
      <c r="D1003" s="39"/>
      <c r="E1003" s="38">
        <f>[2]!expavg($T$9:$T$26,$R$9:$R$26,K1003,H1003)</f>
        <v>0.68957279758642287</v>
      </c>
      <c r="F1003" s="38" t="str">
        <f>[2]!expavg2($T$9:$T$26,I1003,J1003,$R$9:$R$26)</f>
        <v>ERROR: Please use BegPeriod &gt;= 1.</v>
      </c>
      <c r="H1003" s="2">
        <f t="shared" si="92"/>
        <v>10</v>
      </c>
      <c r="I1003" s="24">
        <f t="shared" si="96"/>
        <v>-38</v>
      </c>
      <c r="J1003" s="24">
        <f t="shared" si="97"/>
        <v>11</v>
      </c>
      <c r="K1003" s="17">
        <f t="shared" si="93"/>
        <v>-48</v>
      </c>
      <c r="M1003" s="15">
        <f t="shared" ca="1" si="94"/>
        <v>0</v>
      </c>
      <c r="N1003" s="15">
        <f t="shared" ca="1" si="95"/>
        <v>38748</v>
      </c>
      <c r="Z1003" s="1"/>
    </row>
    <row r="1004" spans="3:26" x14ac:dyDescent="0.2">
      <c r="C1004" s="39"/>
      <c r="D1004" s="39"/>
      <c r="E1004" s="38">
        <f>[2]!expavg($T$9:$T$26,$R$9:$R$26,K1004,H1004)</f>
        <v>0.67160897630855276</v>
      </c>
      <c r="F1004" s="38" t="str">
        <f>[2]!expavg2($T$9:$T$26,I1004,J1004,$R$9:$R$26)</f>
        <v>ERROR: Please use BegPeriod &gt;= 1.</v>
      </c>
      <c r="H1004" s="2">
        <f t="shared" si="92"/>
        <v>9</v>
      </c>
      <c r="I1004" s="24">
        <f t="shared" si="96"/>
        <v>-38</v>
      </c>
      <c r="J1004" s="24">
        <f t="shared" si="97"/>
        <v>10</v>
      </c>
      <c r="K1004" s="17">
        <f t="shared" si="93"/>
        <v>-47</v>
      </c>
      <c r="M1004" s="15">
        <f t="shared" ca="1" si="94"/>
        <v>0</v>
      </c>
      <c r="N1004" s="15">
        <f t="shared" ca="1" si="95"/>
        <v>39113</v>
      </c>
      <c r="Z1004" s="1"/>
    </row>
    <row r="1005" spans="3:26" x14ac:dyDescent="0.2">
      <c r="C1005" s="39"/>
      <c r="D1005" s="39"/>
      <c r="E1005" s="38">
        <f>[2]!expavg($T$9:$T$26,$R$9:$R$26,K1005,H1005)</f>
        <v>0.66527157980250695</v>
      </c>
      <c r="F1005" s="38" t="str">
        <f>[2]!expavg2($T$9:$T$26,I1005,J1005,$R$9:$R$26)</f>
        <v>ERROR: Please use BegPeriod &gt;= 1.</v>
      </c>
      <c r="H1005" s="2">
        <f t="shared" si="92"/>
        <v>8</v>
      </c>
      <c r="I1005" s="24">
        <f t="shared" si="96"/>
        <v>-38</v>
      </c>
      <c r="J1005" s="24">
        <f t="shared" si="97"/>
        <v>9</v>
      </c>
      <c r="K1005" s="17">
        <f t="shared" si="93"/>
        <v>-46</v>
      </c>
      <c r="M1005" s="15">
        <f t="shared" ca="1" si="94"/>
        <v>0</v>
      </c>
      <c r="N1005" s="15">
        <f t="shared" ca="1" si="95"/>
        <v>39478</v>
      </c>
      <c r="Z1005" s="1"/>
    </row>
    <row r="1006" spans="3:26" x14ac:dyDescent="0.2">
      <c r="C1006" s="39"/>
      <c r="D1006" s="39"/>
      <c r="E1006" s="38">
        <f>[2]!expavg($T$9:$T$26,$R$9:$R$26,K1006,H1006)</f>
        <v>0.68450987024306864</v>
      </c>
      <c r="F1006" s="38" t="str">
        <f>[2]!expavg2($T$9:$T$26,I1006,J1006,$R$9:$R$26)</f>
        <v>ERROR: Please use BegPeriod &gt;= 1.</v>
      </c>
      <c r="H1006" s="2">
        <f t="shared" si="92"/>
        <v>7</v>
      </c>
      <c r="I1006" s="24">
        <f t="shared" si="96"/>
        <v>-38</v>
      </c>
      <c r="J1006" s="24">
        <f t="shared" si="97"/>
        <v>8</v>
      </c>
      <c r="K1006" s="17">
        <f t="shared" si="93"/>
        <v>-45</v>
      </c>
      <c r="M1006" s="15">
        <f t="shared" ca="1" si="94"/>
        <v>0</v>
      </c>
      <c r="N1006" s="15">
        <f t="shared" ca="1" si="95"/>
        <v>39844</v>
      </c>
      <c r="Z1006" s="1"/>
    </row>
    <row r="1007" spans="3:26" x14ac:dyDescent="0.2">
      <c r="C1007" s="39"/>
      <c r="D1007" s="39"/>
      <c r="E1007" s="38">
        <f>[2]!expavg($T$9:$T$26,$R$9:$R$26,K1007,H1007)</f>
        <v>0.67627397338659268</v>
      </c>
      <c r="F1007" s="38" t="str">
        <f>[2]!expavg2($T$9:$T$26,I1007,J1007,$R$9:$R$26)</f>
        <v>ERROR: Please use BegPeriod &gt;= 1.</v>
      </c>
      <c r="H1007" s="2">
        <f t="shared" si="92"/>
        <v>6</v>
      </c>
      <c r="I1007" s="24">
        <f t="shared" si="96"/>
        <v>-38</v>
      </c>
      <c r="J1007" s="24">
        <f t="shared" si="97"/>
        <v>7</v>
      </c>
      <c r="K1007" s="17">
        <f t="shared" si="93"/>
        <v>-44</v>
      </c>
      <c r="M1007" s="15">
        <f t="shared" ca="1" si="94"/>
        <v>0</v>
      </c>
      <c r="N1007" s="15">
        <f t="shared" ca="1" si="95"/>
        <v>40209</v>
      </c>
      <c r="Z1007" s="1"/>
    </row>
    <row r="1008" spans="3:26" x14ac:dyDescent="0.2">
      <c r="C1008" s="39"/>
      <c r="D1008" s="39"/>
      <c r="E1008" s="38">
        <f>[2]!expavg($T$9:$T$26,$R$9:$R$26,K1008,H1008)</f>
        <v>0.66006899259190965</v>
      </c>
      <c r="F1008" s="38" t="str">
        <f>[2]!expavg2($T$9:$T$26,I1008,J1008,$R$9:$R$26)</f>
        <v>ERROR: Please use BegPeriod &gt;= 1.</v>
      </c>
      <c r="H1008" s="2">
        <f t="shared" ref="H1008:H1048" si="98">J1008-1</f>
        <v>5</v>
      </c>
      <c r="I1008" s="24">
        <f t="shared" si="96"/>
        <v>-38</v>
      </c>
      <c r="J1008" s="24">
        <f t="shared" si="97"/>
        <v>6</v>
      </c>
      <c r="K1008" s="17">
        <f t="shared" ref="K1008:K1048" si="99">I1008-J1008+1</f>
        <v>-43</v>
      </c>
      <c r="M1008" s="15">
        <f t="shared" ref="M1008:M1048" ca="1" si="100">OFFSET($P$27,-I1008,0)</f>
        <v>0</v>
      </c>
      <c r="N1008" s="15">
        <f t="shared" ref="N1008:N1048" ca="1" si="101">OFFSET($P$27,-J1008,0)</f>
        <v>40574</v>
      </c>
      <c r="Z1008" s="1"/>
    </row>
    <row r="1009" spans="3:26" x14ac:dyDescent="0.2">
      <c r="C1009" s="39"/>
      <c r="D1009" s="39"/>
      <c r="E1009" s="38">
        <f>[2]!expavg($T$9:$T$26,$R$9:$R$26,K1009,H1009)</f>
        <v>0.64048216018789683</v>
      </c>
      <c r="F1009" s="38" t="str">
        <f>[2]!expavg2($T$9:$T$26,I1009,J1009,$R$9:$R$26)</f>
        <v>ERROR: Please use BegPeriod &gt;= 1.</v>
      </c>
      <c r="H1009" s="2">
        <f t="shared" si="98"/>
        <v>4</v>
      </c>
      <c r="I1009" s="24">
        <f t="shared" si="96"/>
        <v>-38</v>
      </c>
      <c r="J1009" s="24">
        <f t="shared" si="97"/>
        <v>5</v>
      </c>
      <c r="K1009" s="17">
        <f t="shared" si="99"/>
        <v>-42</v>
      </c>
      <c r="M1009" s="15">
        <f t="shared" ca="1" si="100"/>
        <v>0</v>
      </c>
      <c r="N1009" s="15">
        <f t="shared" ca="1" si="101"/>
        <v>40939</v>
      </c>
      <c r="Z1009" s="1"/>
    </row>
    <row r="1010" spans="3:26" x14ac:dyDescent="0.2">
      <c r="C1010" s="39"/>
      <c r="D1010" s="39"/>
      <c r="E1010" s="38">
        <f>[2]!expavg($T$9:$T$26,$R$9:$R$26,K1010,H1010)</f>
        <v>0.62815488340610859</v>
      </c>
      <c r="F1010" s="38" t="str">
        <f>[2]!expavg2($T$9:$T$26,I1010,J1010,$R$9:$R$26)</f>
        <v>ERROR: Please use BegPeriod &gt;= 1.</v>
      </c>
      <c r="H1010" s="2">
        <f t="shared" si="98"/>
        <v>3</v>
      </c>
      <c r="I1010" s="24">
        <f t="shared" si="96"/>
        <v>-38</v>
      </c>
      <c r="J1010" s="24">
        <f t="shared" si="97"/>
        <v>4</v>
      </c>
      <c r="K1010" s="17">
        <f t="shared" si="99"/>
        <v>-41</v>
      </c>
      <c r="M1010" s="15">
        <f t="shared" ca="1" si="100"/>
        <v>0</v>
      </c>
      <c r="N1010" s="15">
        <f t="shared" ca="1" si="101"/>
        <v>41305</v>
      </c>
      <c r="Z1010" s="1"/>
    </row>
    <row r="1011" spans="3:26" x14ac:dyDescent="0.2">
      <c r="C1011" s="39"/>
      <c r="D1011" s="39"/>
      <c r="E1011" s="38">
        <f>[2]!expavg($T$9:$T$26,$R$9:$R$26,K1011,H1011)</f>
        <v>0.62040838094689943</v>
      </c>
      <c r="F1011" s="38" t="str">
        <f>[2]!expavg2($T$9:$T$26,I1011,J1011,$R$9:$R$26)</f>
        <v>ERROR: Please use BegPeriod &gt;= 1.</v>
      </c>
      <c r="H1011" s="2">
        <f t="shared" si="98"/>
        <v>2</v>
      </c>
      <c r="I1011" s="24">
        <f t="shared" si="96"/>
        <v>-38</v>
      </c>
      <c r="J1011" s="24">
        <f t="shared" si="97"/>
        <v>3</v>
      </c>
      <c r="K1011" s="17">
        <f t="shared" si="99"/>
        <v>-40</v>
      </c>
      <c r="M1011" s="15">
        <f t="shared" ca="1" si="100"/>
        <v>0</v>
      </c>
      <c r="N1011" s="15">
        <f t="shared" ca="1" si="101"/>
        <v>41670</v>
      </c>
      <c r="Z1011" s="1"/>
    </row>
    <row r="1012" spans="3:26" x14ac:dyDescent="0.2">
      <c r="C1012" s="39"/>
      <c r="D1012" s="39"/>
      <c r="E1012" s="38">
        <f>[2]!expavg($T$9:$T$26,$R$9:$R$26,K1012,H1012)</f>
        <v>0.60752408974439076</v>
      </c>
      <c r="F1012" s="38" t="str">
        <f>[2]!expavg2($T$9:$T$26,I1012,J1012,$R$9:$R$26)</f>
        <v>ERROR: Please use BegPeriod &gt;= 1.</v>
      </c>
      <c r="H1012" s="2">
        <f t="shared" si="98"/>
        <v>1</v>
      </c>
      <c r="I1012" s="24">
        <f t="shared" ref="I1012:I1048" si="102">I995-1</f>
        <v>-38</v>
      </c>
      <c r="J1012" s="24">
        <f t="shared" ref="J1012:J1048" si="103">J995</f>
        <v>2</v>
      </c>
      <c r="K1012" s="17">
        <f t="shared" si="99"/>
        <v>-39</v>
      </c>
      <c r="M1012" s="15">
        <f t="shared" ca="1" si="100"/>
        <v>0</v>
      </c>
      <c r="N1012" s="15">
        <f t="shared" ca="1" si="101"/>
        <v>42035</v>
      </c>
      <c r="Z1012" s="1"/>
    </row>
    <row r="1013" spans="3:26" x14ac:dyDescent="0.2">
      <c r="C1013" s="39"/>
      <c r="D1013" s="39"/>
      <c r="E1013" s="38">
        <f>[2]!expavg($T$9:$T$26,$R$9:$R$26,K1013,H1013)</f>
        <v>0.60472044954610527</v>
      </c>
      <c r="F1013" s="38" t="str">
        <f>[2]!expavg2($T$9:$T$26,I1013,J1013,$R$9:$R$26)</f>
        <v>ERROR: Please use BegPeriod &gt;= 1.</v>
      </c>
      <c r="H1013" s="2">
        <f t="shared" si="98"/>
        <v>0</v>
      </c>
      <c r="I1013" s="24">
        <f t="shared" si="102"/>
        <v>-38</v>
      </c>
      <c r="J1013" s="24">
        <f t="shared" si="103"/>
        <v>1</v>
      </c>
      <c r="K1013" s="17">
        <f t="shared" si="99"/>
        <v>-38</v>
      </c>
      <c r="M1013" s="15">
        <f t="shared" ca="1" si="100"/>
        <v>0</v>
      </c>
      <c r="N1013" s="15">
        <f t="shared" ca="1" si="101"/>
        <v>42400</v>
      </c>
      <c r="Z1013" s="1"/>
    </row>
    <row r="1014" spans="3:26" x14ac:dyDescent="0.2">
      <c r="C1014" s="39"/>
      <c r="D1014" s="39"/>
      <c r="E1014" s="38">
        <f>[2]!expavg($T$9:$T$26,$R$9:$R$26,K1014,H1014)</f>
        <v>0.60472044954610527</v>
      </c>
      <c r="F1014" s="38" t="str">
        <f>[2]!expavg2($T$9:$T$26,I1014,J1014,$R$9:$R$26)</f>
        <v>ERROR: Please use BegPeriod &gt;= 1.</v>
      </c>
      <c r="H1014" s="2">
        <f t="shared" si="98"/>
        <v>-1</v>
      </c>
      <c r="I1014" s="24">
        <f t="shared" si="102"/>
        <v>-38</v>
      </c>
      <c r="J1014" s="24">
        <f t="shared" si="103"/>
        <v>0</v>
      </c>
      <c r="K1014" s="17">
        <f t="shared" si="99"/>
        <v>-37</v>
      </c>
      <c r="M1014" s="15">
        <f t="shared" ca="1" si="100"/>
        <v>0</v>
      </c>
      <c r="N1014" s="15">
        <f t="shared" ca="1" si="101"/>
        <v>0</v>
      </c>
      <c r="Z1014" s="1"/>
    </row>
    <row r="1015" spans="3:26" x14ac:dyDescent="0.2">
      <c r="C1015" s="39"/>
      <c r="D1015" s="39"/>
      <c r="E1015" s="38">
        <f>[2]!expavg($T$9:$T$26,$R$9:$R$26,K1015,H1015)</f>
        <v>0.60472044954610527</v>
      </c>
      <c r="F1015" s="38" t="str">
        <f>[2]!expavg2($T$9:$T$26,I1015,J1015,$R$9:$R$26)</f>
        <v>ERROR: Please use BegPeriod &gt;= 1.</v>
      </c>
      <c r="H1015" s="2">
        <f t="shared" si="98"/>
        <v>-2</v>
      </c>
      <c r="I1015" s="24">
        <f t="shared" si="102"/>
        <v>-38</v>
      </c>
      <c r="J1015" s="24">
        <f t="shared" si="103"/>
        <v>-1</v>
      </c>
      <c r="K1015" s="17">
        <f t="shared" si="99"/>
        <v>-36</v>
      </c>
      <c r="M1015" s="15">
        <f t="shared" ca="1" si="100"/>
        <v>0</v>
      </c>
      <c r="N1015" s="15">
        <f t="shared" ca="1" si="101"/>
        <v>0</v>
      </c>
      <c r="Z1015" s="1"/>
    </row>
    <row r="1016" spans="3:26" x14ac:dyDescent="0.2">
      <c r="C1016" s="39"/>
      <c r="D1016" s="39"/>
      <c r="E1016" s="38">
        <f>[2]!expavg($T$9:$T$26,$R$9:$R$26,K1016,H1016)</f>
        <v>0.70939186407915755</v>
      </c>
      <c r="F1016" s="38" t="str">
        <f>[2]!expavg2($T$9:$T$26,I1016,J1016,$R$9:$R$26)</f>
        <v>ERROR: Please use BegPeriod &gt;= 1.</v>
      </c>
      <c r="H1016" s="2">
        <f t="shared" si="98"/>
        <v>14</v>
      </c>
      <c r="I1016" s="24">
        <f t="shared" si="102"/>
        <v>-39</v>
      </c>
      <c r="J1016" s="24">
        <f t="shared" si="103"/>
        <v>15</v>
      </c>
      <c r="K1016" s="17">
        <f t="shared" si="99"/>
        <v>-53</v>
      </c>
      <c r="M1016" s="15">
        <f t="shared" ca="1" si="100"/>
        <v>0</v>
      </c>
      <c r="N1016" s="15">
        <f t="shared" ca="1" si="101"/>
        <v>37287</v>
      </c>
      <c r="Z1016" s="1"/>
    </row>
    <row r="1017" spans="3:26" x14ac:dyDescent="0.2">
      <c r="C1017" s="39"/>
      <c r="D1017" s="39"/>
      <c r="E1017" s="38">
        <f>[2]!expavg($T$9:$T$26,$R$9:$R$26,K1017,H1017)</f>
        <v>0.67177139323204882</v>
      </c>
      <c r="F1017" s="38" t="str">
        <f>[2]!expavg2($T$9:$T$26,I1017,J1017,$R$9:$R$26)</f>
        <v>ERROR: Please use BegPeriod &gt;= 1.</v>
      </c>
      <c r="H1017" s="2">
        <f t="shared" si="98"/>
        <v>13</v>
      </c>
      <c r="I1017" s="24">
        <f t="shared" si="102"/>
        <v>-39</v>
      </c>
      <c r="J1017" s="24">
        <f t="shared" si="103"/>
        <v>14</v>
      </c>
      <c r="K1017" s="17">
        <f t="shared" si="99"/>
        <v>-52</v>
      </c>
      <c r="M1017" s="15">
        <f t="shared" ca="1" si="100"/>
        <v>0</v>
      </c>
      <c r="N1017" s="15">
        <f t="shared" ca="1" si="101"/>
        <v>37652</v>
      </c>
      <c r="Z1017" s="1"/>
    </row>
    <row r="1018" spans="3:26" x14ac:dyDescent="0.2">
      <c r="C1018" s="39"/>
      <c r="D1018" s="39"/>
      <c r="E1018" s="38">
        <f>[2]!expavg($T$9:$T$26,$R$9:$R$26,K1018,H1018)</f>
        <v>0.66945167850810816</v>
      </c>
      <c r="F1018" s="38" t="str">
        <f>[2]!expavg2($T$9:$T$26,I1018,J1018,$R$9:$R$26)</f>
        <v>ERROR: Please use BegPeriod &gt;= 1.</v>
      </c>
      <c r="H1018" s="2">
        <f t="shared" si="98"/>
        <v>12</v>
      </c>
      <c r="I1018" s="24">
        <f t="shared" si="102"/>
        <v>-39</v>
      </c>
      <c r="J1018" s="24">
        <f t="shared" si="103"/>
        <v>13</v>
      </c>
      <c r="K1018" s="17">
        <f t="shared" si="99"/>
        <v>-51</v>
      </c>
      <c r="M1018" s="15">
        <f t="shared" ca="1" si="100"/>
        <v>0</v>
      </c>
      <c r="N1018" s="15">
        <f t="shared" ca="1" si="101"/>
        <v>38017</v>
      </c>
      <c r="Z1018" s="1"/>
    </row>
    <row r="1019" spans="3:26" x14ac:dyDescent="0.2">
      <c r="C1019" s="39"/>
      <c r="D1019" s="39"/>
      <c r="E1019" s="38">
        <f>[2]!expavg($T$9:$T$26,$R$9:$R$26,K1019,H1019)</f>
        <v>0.67904388723605558</v>
      </c>
      <c r="F1019" s="38" t="str">
        <f>[2]!expavg2($T$9:$T$26,I1019,J1019,$R$9:$R$26)</f>
        <v>ERROR: Please use BegPeriod &gt;= 1.</v>
      </c>
      <c r="H1019" s="2">
        <f t="shared" si="98"/>
        <v>11</v>
      </c>
      <c r="I1019" s="24">
        <f t="shared" si="102"/>
        <v>-39</v>
      </c>
      <c r="J1019" s="24">
        <f t="shared" si="103"/>
        <v>12</v>
      </c>
      <c r="K1019" s="17">
        <f t="shared" si="99"/>
        <v>-50</v>
      </c>
      <c r="M1019" s="15">
        <f t="shared" ca="1" si="100"/>
        <v>0</v>
      </c>
      <c r="N1019" s="15">
        <f t="shared" ca="1" si="101"/>
        <v>38383</v>
      </c>
      <c r="Z1019" s="1"/>
    </row>
    <row r="1020" spans="3:26" x14ac:dyDescent="0.2">
      <c r="C1020" s="39"/>
      <c r="D1020" s="39"/>
      <c r="E1020" s="38">
        <f>[2]!expavg($T$9:$T$26,$R$9:$R$26,K1020,H1020)</f>
        <v>0.68957279758642287</v>
      </c>
      <c r="F1020" s="38" t="str">
        <f>[2]!expavg2($T$9:$T$26,I1020,J1020,$R$9:$R$26)</f>
        <v>ERROR: Please use BegPeriod &gt;= 1.</v>
      </c>
      <c r="H1020" s="2">
        <f t="shared" si="98"/>
        <v>10</v>
      </c>
      <c r="I1020" s="24">
        <f t="shared" si="102"/>
        <v>-39</v>
      </c>
      <c r="J1020" s="24">
        <f t="shared" si="103"/>
        <v>11</v>
      </c>
      <c r="K1020" s="17">
        <f t="shared" si="99"/>
        <v>-49</v>
      </c>
      <c r="M1020" s="15">
        <f t="shared" ca="1" si="100"/>
        <v>0</v>
      </c>
      <c r="N1020" s="15">
        <f t="shared" ca="1" si="101"/>
        <v>38748</v>
      </c>
      <c r="Z1020" s="1"/>
    </row>
    <row r="1021" spans="3:26" x14ac:dyDescent="0.2">
      <c r="C1021" s="39"/>
      <c r="D1021" s="39"/>
      <c r="E1021" s="38">
        <f>[2]!expavg($T$9:$T$26,$R$9:$R$26,K1021,H1021)</f>
        <v>0.67160897630855276</v>
      </c>
      <c r="F1021" s="38" t="str">
        <f>[2]!expavg2($T$9:$T$26,I1021,J1021,$R$9:$R$26)</f>
        <v>ERROR: Please use BegPeriod &gt;= 1.</v>
      </c>
      <c r="H1021" s="2">
        <f t="shared" si="98"/>
        <v>9</v>
      </c>
      <c r="I1021" s="24">
        <f t="shared" si="102"/>
        <v>-39</v>
      </c>
      <c r="J1021" s="24">
        <f t="shared" si="103"/>
        <v>10</v>
      </c>
      <c r="K1021" s="17">
        <f t="shared" si="99"/>
        <v>-48</v>
      </c>
      <c r="M1021" s="15">
        <f t="shared" ca="1" si="100"/>
        <v>0</v>
      </c>
      <c r="N1021" s="15">
        <f t="shared" ca="1" si="101"/>
        <v>39113</v>
      </c>
      <c r="Z1021" s="1"/>
    </row>
    <row r="1022" spans="3:26" x14ac:dyDescent="0.2">
      <c r="C1022" s="39"/>
      <c r="D1022" s="39"/>
      <c r="E1022" s="38">
        <f>[2]!expavg($T$9:$T$26,$R$9:$R$26,K1022,H1022)</f>
        <v>0.66527157980250695</v>
      </c>
      <c r="F1022" s="38" t="str">
        <f>[2]!expavg2($T$9:$T$26,I1022,J1022,$R$9:$R$26)</f>
        <v>ERROR: Please use BegPeriod &gt;= 1.</v>
      </c>
      <c r="H1022" s="2">
        <f t="shared" si="98"/>
        <v>8</v>
      </c>
      <c r="I1022" s="24">
        <f t="shared" si="102"/>
        <v>-39</v>
      </c>
      <c r="J1022" s="24">
        <f t="shared" si="103"/>
        <v>9</v>
      </c>
      <c r="K1022" s="17">
        <f t="shared" si="99"/>
        <v>-47</v>
      </c>
      <c r="M1022" s="15">
        <f t="shared" ca="1" si="100"/>
        <v>0</v>
      </c>
      <c r="N1022" s="15">
        <f t="shared" ca="1" si="101"/>
        <v>39478</v>
      </c>
      <c r="Z1022" s="1"/>
    </row>
    <row r="1023" spans="3:26" x14ac:dyDescent="0.2">
      <c r="C1023" s="39"/>
      <c r="D1023" s="39"/>
      <c r="E1023" s="38">
        <f>[2]!expavg($T$9:$T$26,$R$9:$R$26,K1023,H1023)</f>
        <v>0.68450987024306864</v>
      </c>
      <c r="F1023" s="38" t="str">
        <f>[2]!expavg2($T$9:$T$26,I1023,J1023,$R$9:$R$26)</f>
        <v>ERROR: Please use BegPeriod &gt;= 1.</v>
      </c>
      <c r="H1023" s="2">
        <f t="shared" si="98"/>
        <v>7</v>
      </c>
      <c r="I1023" s="24">
        <f t="shared" si="102"/>
        <v>-39</v>
      </c>
      <c r="J1023" s="24">
        <f t="shared" si="103"/>
        <v>8</v>
      </c>
      <c r="K1023" s="17">
        <f t="shared" si="99"/>
        <v>-46</v>
      </c>
      <c r="M1023" s="15">
        <f t="shared" ca="1" si="100"/>
        <v>0</v>
      </c>
      <c r="N1023" s="15">
        <f t="shared" ca="1" si="101"/>
        <v>39844</v>
      </c>
      <c r="Z1023" s="1"/>
    </row>
    <row r="1024" spans="3:26" x14ac:dyDescent="0.2">
      <c r="C1024" s="39"/>
      <c r="D1024" s="39"/>
      <c r="E1024" s="38">
        <f>[2]!expavg($T$9:$T$26,$R$9:$R$26,K1024,H1024)</f>
        <v>0.67627397338659268</v>
      </c>
      <c r="F1024" s="38" t="str">
        <f>[2]!expavg2($T$9:$T$26,I1024,J1024,$R$9:$R$26)</f>
        <v>ERROR: Please use BegPeriod &gt;= 1.</v>
      </c>
      <c r="H1024" s="2">
        <f t="shared" si="98"/>
        <v>6</v>
      </c>
      <c r="I1024" s="24">
        <f t="shared" si="102"/>
        <v>-39</v>
      </c>
      <c r="J1024" s="24">
        <f t="shared" si="103"/>
        <v>7</v>
      </c>
      <c r="K1024" s="17">
        <f t="shared" si="99"/>
        <v>-45</v>
      </c>
      <c r="M1024" s="15">
        <f t="shared" ca="1" si="100"/>
        <v>0</v>
      </c>
      <c r="N1024" s="15">
        <f t="shared" ca="1" si="101"/>
        <v>40209</v>
      </c>
      <c r="Z1024" s="1"/>
    </row>
    <row r="1025" spans="3:26" x14ac:dyDescent="0.2">
      <c r="C1025" s="39"/>
      <c r="D1025" s="39"/>
      <c r="E1025" s="38">
        <f>[2]!expavg($T$9:$T$26,$R$9:$R$26,K1025,H1025)</f>
        <v>0.66006899259190965</v>
      </c>
      <c r="F1025" s="38" t="str">
        <f>[2]!expavg2($T$9:$T$26,I1025,J1025,$R$9:$R$26)</f>
        <v>ERROR: Please use BegPeriod &gt;= 1.</v>
      </c>
      <c r="H1025" s="2">
        <f t="shared" si="98"/>
        <v>5</v>
      </c>
      <c r="I1025" s="24">
        <f t="shared" si="102"/>
        <v>-39</v>
      </c>
      <c r="J1025" s="24">
        <f t="shared" si="103"/>
        <v>6</v>
      </c>
      <c r="K1025" s="17">
        <f t="shared" si="99"/>
        <v>-44</v>
      </c>
      <c r="M1025" s="15">
        <f t="shared" ca="1" si="100"/>
        <v>0</v>
      </c>
      <c r="N1025" s="15">
        <f t="shared" ca="1" si="101"/>
        <v>40574</v>
      </c>
      <c r="Z1025" s="1"/>
    </row>
    <row r="1026" spans="3:26" x14ac:dyDescent="0.2">
      <c r="C1026" s="39"/>
      <c r="D1026" s="39"/>
      <c r="E1026" s="38">
        <f>[2]!expavg($T$9:$T$26,$R$9:$R$26,K1026,H1026)</f>
        <v>0.64048216018789683</v>
      </c>
      <c r="F1026" s="38" t="str">
        <f>[2]!expavg2($T$9:$T$26,I1026,J1026,$R$9:$R$26)</f>
        <v>ERROR: Please use BegPeriod &gt;= 1.</v>
      </c>
      <c r="H1026" s="2">
        <f t="shared" si="98"/>
        <v>4</v>
      </c>
      <c r="I1026" s="24">
        <f t="shared" si="102"/>
        <v>-39</v>
      </c>
      <c r="J1026" s="24">
        <f t="shared" si="103"/>
        <v>5</v>
      </c>
      <c r="K1026" s="17">
        <f t="shared" si="99"/>
        <v>-43</v>
      </c>
      <c r="M1026" s="15">
        <f t="shared" ca="1" si="100"/>
        <v>0</v>
      </c>
      <c r="N1026" s="15">
        <f t="shared" ca="1" si="101"/>
        <v>40939</v>
      </c>
      <c r="Z1026" s="1"/>
    </row>
    <row r="1027" spans="3:26" x14ac:dyDescent="0.2">
      <c r="C1027" s="39"/>
      <c r="D1027" s="39"/>
      <c r="E1027" s="38">
        <f>[2]!expavg($T$9:$T$26,$R$9:$R$26,K1027,H1027)</f>
        <v>0.62815488340610859</v>
      </c>
      <c r="F1027" s="38" t="str">
        <f>[2]!expavg2($T$9:$T$26,I1027,J1027,$R$9:$R$26)</f>
        <v>ERROR: Please use BegPeriod &gt;= 1.</v>
      </c>
      <c r="H1027" s="2">
        <f t="shared" si="98"/>
        <v>3</v>
      </c>
      <c r="I1027" s="24">
        <f t="shared" si="102"/>
        <v>-39</v>
      </c>
      <c r="J1027" s="24">
        <f t="shared" si="103"/>
        <v>4</v>
      </c>
      <c r="K1027" s="17">
        <f t="shared" si="99"/>
        <v>-42</v>
      </c>
      <c r="M1027" s="15">
        <f t="shared" ca="1" si="100"/>
        <v>0</v>
      </c>
      <c r="N1027" s="15">
        <f t="shared" ca="1" si="101"/>
        <v>41305</v>
      </c>
      <c r="Z1027" s="1"/>
    </row>
    <row r="1028" spans="3:26" x14ac:dyDescent="0.2">
      <c r="C1028" s="39"/>
      <c r="D1028" s="39"/>
      <c r="E1028" s="38">
        <f>[2]!expavg($T$9:$T$26,$R$9:$R$26,K1028,H1028)</f>
        <v>0.62040838094689943</v>
      </c>
      <c r="F1028" s="38" t="str">
        <f>[2]!expavg2($T$9:$T$26,I1028,J1028,$R$9:$R$26)</f>
        <v>ERROR: Please use BegPeriod &gt;= 1.</v>
      </c>
      <c r="H1028" s="2">
        <f t="shared" si="98"/>
        <v>2</v>
      </c>
      <c r="I1028" s="24">
        <f t="shared" si="102"/>
        <v>-39</v>
      </c>
      <c r="J1028" s="24">
        <f t="shared" si="103"/>
        <v>3</v>
      </c>
      <c r="K1028" s="17">
        <f t="shared" si="99"/>
        <v>-41</v>
      </c>
      <c r="M1028" s="15">
        <f t="shared" ca="1" si="100"/>
        <v>0</v>
      </c>
      <c r="N1028" s="15">
        <f t="shared" ca="1" si="101"/>
        <v>41670</v>
      </c>
      <c r="Z1028" s="1"/>
    </row>
    <row r="1029" spans="3:26" x14ac:dyDescent="0.2">
      <c r="C1029" s="39"/>
      <c r="D1029" s="39"/>
      <c r="E1029" s="38">
        <f>[2]!expavg($T$9:$T$26,$R$9:$R$26,K1029,H1029)</f>
        <v>0.60752408974439076</v>
      </c>
      <c r="F1029" s="38" t="str">
        <f>[2]!expavg2($T$9:$T$26,I1029,J1029,$R$9:$R$26)</f>
        <v>ERROR: Please use BegPeriod &gt;= 1.</v>
      </c>
      <c r="H1029" s="2">
        <f t="shared" si="98"/>
        <v>1</v>
      </c>
      <c r="I1029" s="24">
        <f t="shared" si="102"/>
        <v>-39</v>
      </c>
      <c r="J1029" s="24">
        <f t="shared" si="103"/>
        <v>2</v>
      </c>
      <c r="K1029" s="17">
        <f t="shared" si="99"/>
        <v>-40</v>
      </c>
      <c r="M1029" s="15">
        <f t="shared" ca="1" si="100"/>
        <v>0</v>
      </c>
      <c r="N1029" s="15">
        <f t="shared" ca="1" si="101"/>
        <v>42035</v>
      </c>
      <c r="Z1029" s="1"/>
    </row>
    <row r="1030" spans="3:26" x14ac:dyDescent="0.2">
      <c r="C1030" s="39"/>
      <c r="D1030" s="39"/>
      <c r="E1030" s="38">
        <f>[2]!expavg($T$9:$T$26,$R$9:$R$26,K1030,H1030)</f>
        <v>0.60472044954610527</v>
      </c>
      <c r="F1030" s="38" t="str">
        <f>[2]!expavg2($T$9:$T$26,I1030,J1030,$R$9:$R$26)</f>
        <v>ERROR: Please use BegPeriod &gt;= 1.</v>
      </c>
      <c r="H1030" s="2">
        <f t="shared" si="98"/>
        <v>0</v>
      </c>
      <c r="I1030" s="24">
        <f t="shared" si="102"/>
        <v>-39</v>
      </c>
      <c r="J1030" s="24">
        <f t="shared" si="103"/>
        <v>1</v>
      </c>
      <c r="K1030" s="17">
        <f t="shared" si="99"/>
        <v>-39</v>
      </c>
      <c r="M1030" s="15">
        <f t="shared" ca="1" si="100"/>
        <v>0</v>
      </c>
      <c r="N1030" s="15">
        <f t="shared" ca="1" si="101"/>
        <v>42400</v>
      </c>
      <c r="Z1030" s="1"/>
    </row>
    <row r="1031" spans="3:26" x14ac:dyDescent="0.2">
      <c r="C1031" s="39"/>
      <c r="D1031" s="39"/>
      <c r="E1031" s="38">
        <f>[2]!expavg($T$9:$T$26,$R$9:$R$26,K1031,H1031)</f>
        <v>0.60472044954610527</v>
      </c>
      <c r="F1031" s="38" t="str">
        <f>[2]!expavg2($T$9:$T$26,I1031,J1031,$R$9:$R$26)</f>
        <v>ERROR: Please use BegPeriod &gt;= 1.</v>
      </c>
      <c r="H1031" s="2">
        <f t="shared" si="98"/>
        <v>-1</v>
      </c>
      <c r="I1031" s="24">
        <f t="shared" si="102"/>
        <v>-39</v>
      </c>
      <c r="J1031" s="24">
        <f t="shared" si="103"/>
        <v>0</v>
      </c>
      <c r="K1031" s="17">
        <f t="shared" si="99"/>
        <v>-38</v>
      </c>
      <c r="M1031" s="15">
        <f t="shared" ca="1" si="100"/>
        <v>0</v>
      </c>
      <c r="N1031" s="15">
        <f t="shared" ca="1" si="101"/>
        <v>0</v>
      </c>
      <c r="Z1031" s="1"/>
    </row>
    <row r="1032" spans="3:26" x14ac:dyDescent="0.2">
      <c r="C1032" s="39"/>
      <c r="D1032" s="39"/>
      <c r="E1032" s="38">
        <f>[2]!expavg($T$9:$T$26,$R$9:$R$26,K1032,H1032)</f>
        <v>0.60472044954610527</v>
      </c>
      <c r="F1032" s="38" t="str">
        <f>[2]!expavg2($T$9:$T$26,I1032,J1032,$R$9:$R$26)</f>
        <v>ERROR: Please use BegPeriod &gt;= 1.</v>
      </c>
      <c r="H1032" s="2">
        <f t="shared" si="98"/>
        <v>-2</v>
      </c>
      <c r="I1032" s="24">
        <f t="shared" si="102"/>
        <v>-39</v>
      </c>
      <c r="J1032" s="24">
        <f t="shared" si="103"/>
        <v>-1</v>
      </c>
      <c r="K1032" s="17">
        <f t="shared" si="99"/>
        <v>-37</v>
      </c>
      <c r="M1032" s="15">
        <f t="shared" ca="1" si="100"/>
        <v>0</v>
      </c>
      <c r="N1032" s="15">
        <f t="shared" ca="1" si="101"/>
        <v>0</v>
      </c>
      <c r="Z1032" s="1"/>
    </row>
    <row r="1033" spans="3:26" x14ac:dyDescent="0.2">
      <c r="C1033" s="39"/>
      <c r="D1033" s="39"/>
      <c r="E1033" s="38">
        <f>[2]!expavg($T$9:$T$26,$R$9:$R$26,K1033,H1033)</f>
        <v>0.70939186407915755</v>
      </c>
      <c r="F1033" s="38" t="str">
        <f>[2]!expavg2($T$9:$T$26,I1033,J1033,$R$9:$R$26)</f>
        <v>ERROR: Please use BegPeriod &gt;= 1.</v>
      </c>
      <c r="H1033" s="2">
        <f t="shared" si="98"/>
        <v>14</v>
      </c>
      <c r="I1033" s="24">
        <f t="shared" si="102"/>
        <v>-40</v>
      </c>
      <c r="J1033" s="24">
        <f t="shared" si="103"/>
        <v>15</v>
      </c>
      <c r="K1033" s="17">
        <f t="shared" si="99"/>
        <v>-54</v>
      </c>
      <c r="M1033" s="15">
        <f t="shared" ca="1" si="100"/>
        <v>0</v>
      </c>
      <c r="N1033" s="15">
        <f t="shared" ca="1" si="101"/>
        <v>37287</v>
      </c>
      <c r="Z1033" s="1"/>
    </row>
    <row r="1034" spans="3:26" x14ac:dyDescent="0.2">
      <c r="C1034" s="39"/>
      <c r="D1034" s="39"/>
      <c r="E1034" s="38">
        <f>[2]!expavg($T$9:$T$26,$R$9:$R$26,K1034,H1034)</f>
        <v>0.67177139323204882</v>
      </c>
      <c r="F1034" s="38" t="str">
        <f>[2]!expavg2($T$9:$T$26,I1034,J1034,$R$9:$R$26)</f>
        <v>ERROR: Please use BegPeriod &gt;= 1.</v>
      </c>
      <c r="H1034" s="2">
        <f t="shared" si="98"/>
        <v>13</v>
      </c>
      <c r="I1034" s="24">
        <f t="shared" si="102"/>
        <v>-40</v>
      </c>
      <c r="J1034" s="24">
        <f t="shared" si="103"/>
        <v>14</v>
      </c>
      <c r="K1034" s="17">
        <f t="shared" si="99"/>
        <v>-53</v>
      </c>
      <c r="M1034" s="15">
        <f t="shared" ca="1" si="100"/>
        <v>0</v>
      </c>
      <c r="N1034" s="15">
        <f t="shared" ca="1" si="101"/>
        <v>37652</v>
      </c>
      <c r="Z1034" s="1"/>
    </row>
    <row r="1035" spans="3:26" x14ac:dyDescent="0.2">
      <c r="C1035" s="39"/>
      <c r="D1035" s="39"/>
      <c r="E1035" s="38">
        <f>[2]!expavg($T$9:$T$26,$R$9:$R$26,K1035,H1035)</f>
        <v>0.66945167850810816</v>
      </c>
      <c r="F1035" s="38" t="str">
        <f>[2]!expavg2($T$9:$T$26,I1035,J1035,$R$9:$R$26)</f>
        <v>ERROR: Please use BegPeriod &gt;= 1.</v>
      </c>
      <c r="H1035" s="2">
        <f t="shared" si="98"/>
        <v>12</v>
      </c>
      <c r="I1035" s="24">
        <f t="shared" si="102"/>
        <v>-40</v>
      </c>
      <c r="J1035" s="24">
        <f t="shared" si="103"/>
        <v>13</v>
      </c>
      <c r="K1035" s="17">
        <f t="shared" si="99"/>
        <v>-52</v>
      </c>
      <c r="M1035" s="15">
        <f t="shared" ca="1" si="100"/>
        <v>0</v>
      </c>
      <c r="N1035" s="15">
        <f t="shared" ca="1" si="101"/>
        <v>38017</v>
      </c>
      <c r="Z1035" s="1"/>
    </row>
    <row r="1036" spans="3:26" x14ac:dyDescent="0.2">
      <c r="C1036" s="39"/>
      <c r="D1036" s="39"/>
      <c r="E1036" s="38">
        <f>[2]!expavg($T$9:$T$26,$R$9:$R$26,K1036,H1036)</f>
        <v>0.67904388723605558</v>
      </c>
      <c r="F1036" s="38" t="str">
        <f>[2]!expavg2($T$9:$T$26,I1036,J1036,$R$9:$R$26)</f>
        <v>ERROR: Please use BegPeriod &gt;= 1.</v>
      </c>
      <c r="H1036" s="2">
        <f t="shared" si="98"/>
        <v>11</v>
      </c>
      <c r="I1036" s="24">
        <f t="shared" si="102"/>
        <v>-40</v>
      </c>
      <c r="J1036" s="24">
        <f t="shared" si="103"/>
        <v>12</v>
      </c>
      <c r="K1036" s="17">
        <f t="shared" si="99"/>
        <v>-51</v>
      </c>
      <c r="M1036" s="15">
        <f t="shared" ca="1" si="100"/>
        <v>0</v>
      </c>
      <c r="N1036" s="15">
        <f t="shared" ca="1" si="101"/>
        <v>38383</v>
      </c>
      <c r="Z1036" s="1"/>
    </row>
    <row r="1037" spans="3:26" x14ac:dyDescent="0.2">
      <c r="C1037" s="39"/>
      <c r="D1037" s="39"/>
      <c r="E1037" s="38">
        <f>[2]!expavg($T$9:$T$26,$R$9:$R$26,K1037,H1037)</f>
        <v>0.68957279758642287</v>
      </c>
      <c r="F1037" s="38" t="str">
        <f>[2]!expavg2($T$9:$T$26,I1037,J1037,$R$9:$R$26)</f>
        <v>ERROR: Please use BegPeriod &gt;= 1.</v>
      </c>
      <c r="H1037" s="2">
        <f t="shared" si="98"/>
        <v>10</v>
      </c>
      <c r="I1037" s="24">
        <f t="shared" si="102"/>
        <v>-40</v>
      </c>
      <c r="J1037" s="24">
        <f t="shared" si="103"/>
        <v>11</v>
      </c>
      <c r="K1037" s="17">
        <f t="shared" si="99"/>
        <v>-50</v>
      </c>
      <c r="M1037" s="15">
        <f t="shared" ca="1" si="100"/>
        <v>0</v>
      </c>
      <c r="N1037" s="15">
        <f t="shared" ca="1" si="101"/>
        <v>38748</v>
      </c>
      <c r="Z1037" s="1"/>
    </row>
    <row r="1038" spans="3:26" x14ac:dyDescent="0.2">
      <c r="C1038" s="39"/>
      <c r="D1038" s="39"/>
      <c r="E1038" s="38">
        <f>[2]!expavg($T$9:$T$26,$R$9:$R$26,K1038,H1038)</f>
        <v>0.67160897630855276</v>
      </c>
      <c r="F1038" s="38" t="str">
        <f>[2]!expavg2($T$9:$T$26,I1038,J1038,$R$9:$R$26)</f>
        <v>ERROR: Please use BegPeriod &gt;= 1.</v>
      </c>
      <c r="H1038" s="2">
        <f t="shared" si="98"/>
        <v>9</v>
      </c>
      <c r="I1038" s="24">
        <f t="shared" si="102"/>
        <v>-40</v>
      </c>
      <c r="J1038" s="24">
        <f t="shared" si="103"/>
        <v>10</v>
      </c>
      <c r="K1038" s="17">
        <f t="shared" si="99"/>
        <v>-49</v>
      </c>
      <c r="M1038" s="15">
        <f t="shared" ca="1" si="100"/>
        <v>0</v>
      </c>
      <c r="N1038" s="15">
        <f t="shared" ca="1" si="101"/>
        <v>39113</v>
      </c>
      <c r="Z1038" s="1"/>
    </row>
    <row r="1039" spans="3:26" x14ac:dyDescent="0.2">
      <c r="C1039" s="39"/>
      <c r="D1039" s="39"/>
      <c r="E1039" s="38">
        <f>[2]!expavg($T$9:$T$26,$R$9:$R$26,K1039,H1039)</f>
        <v>0.66527157980250695</v>
      </c>
      <c r="F1039" s="38" t="str">
        <f>[2]!expavg2($T$9:$T$26,I1039,J1039,$R$9:$R$26)</f>
        <v>ERROR: Please use BegPeriod &gt;= 1.</v>
      </c>
      <c r="H1039" s="2">
        <f t="shared" si="98"/>
        <v>8</v>
      </c>
      <c r="I1039" s="24">
        <f t="shared" si="102"/>
        <v>-40</v>
      </c>
      <c r="J1039" s="24">
        <f t="shared" si="103"/>
        <v>9</v>
      </c>
      <c r="K1039" s="17">
        <f t="shared" si="99"/>
        <v>-48</v>
      </c>
      <c r="M1039" s="15">
        <f t="shared" ca="1" si="100"/>
        <v>0</v>
      </c>
      <c r="N1039" s="15">
        <f t="shared" ca="1" si="101"/>
        <v>39478</v>
      </c>
      <c r="Z1039" s="1"/>
    </row>
    <row r="1040" spans="3:26" x14ac:dyDescent="0.2">
      <c r="C1040" s="39"/>
      <c r="D1040" s="39"/>
      <c r="E1040" s="38">
        <f>[2]!expavg($T$9:$T$26,$R$9:$R$26,K1040,H1040)</f>
        <v>0.68450987024306864</v>
      </c>
      <c r="F1040" s="38" t="str">
        <f>[2]!expavg2($T$9:$T$26,I1040,J1040,$R$9:$R$26)</f>
        <v>ERROR: Please use BegPeriod &gt;= 1.</v>
      </c>
      <c r="H1040" s="2">
        <f t="shared" si="98"/>
        <v>7</v>
      </c>
      <c r="I1040" s="24">
        <f t="shared" si="102"/>
        <v>-40</v>
      </c>
      <c r="J1040" s="24">
        <f t="shared" si="103"/>
        <v>8</v>
      </c>
      <c r="K1040" s="17">
        <f t="shared" si="99"/>
        <v>-47</v>
      </c>
      <c r="M1040" s="15">
        <f t="shared" ca="1" si="100"/>
        <v>0</v>
      </c>
      <c r="N1040" s="15">
        <f t="shared" ca="1" si="101"/>
        <v>39844</v>
      </c>
      <c r="Z1040" s="1"/>
    </row>
    <row r="1041" spans="3:26" x14ac:dyDescent="0.2">
      <c r="C1041" s="39"/>
      <c r="D1041" s="39"/>
      <c r="E1041" s="38">
        <f>[2]!expavg($T$9:$T$26,$R$9:$R$26,K1041,H1041)</f>
        <v>0.67627397338659268</v>
      </c>
      <c r="F1041" s="38" t="str">
        <f>[2]!expavg2($T$9:$T$26,I1041,J1041,$R$9:$R$26)</f>
        <v>ERROR: Please use BegPeriod &gt;= 1.</v>
      </c>
      <c r="H1041" s="2">
        <f t="shared" si="98"/>
        <v>6</v>
      </c>
      <c r="I1041" s="24">
        <f t="shared" si="102"/>
        <v>-40</v>
      </c>
      <c r="J1041" s="24">
        <f t="shared" si="103"/>
        <v>7</v>
      </c>
      <c r="K1041" s="17">
        <f t="shared" si="99"/>
        <v>-46</v>
      </c>
      <c r="M1041" s="15">
        <f t="shared" ca="1" si="100"/>
        <v>0</v>
      </c>
      <c r="N1041" s="15">
        <f t="shared" ca="1" si="101"/>
        <v>40209</v>
      </c>
      <c r="Z1041" s="1"/>
    </row>
    <row r="1042" spans="3:26" x14ac:dyDescent="0.2">
      <c r="C1042" s="39"/>
      <c r="D1042" s="39"/>
      <c r="E1042" s="38">
        <f>[2]!expavg($T$9:$T$26,$R$9:$R$26,K1042,H1042)</f>
        <v>0.66006899259190965</v>
      </c>
      <c r="F1042" s="38" t="str">
        <f>[2]!expavg2($T$9:$T$26,I1042,J1042,$R$9:$R$26)</f>
        <v>ERROR: Please use BegPeriod &gt;= 1.</v>
      </c>
      <c r="H1042" s="2">
        <f t="shared" si="98"/>
        <v>5</v>
      </c>
      <c r="I1042" s="24">
        <f t="shared" si="102"/>
        <v>-40</v>
      </c>
      <c r="J1042" s="24">
        <f t="shared" si="103"/>
        <v>6</v>
      </c>
      <c r="K1042" s="17">
        <f t="shared" si="99"/>
        <v>-45</v>
      </c>
      <c r="M1042" s="15">
        <f t="shared" ca="1" si="100"/>
        <v>0</v>
      </c>
      <c r="N1042" s="15">
        <f t="shared" ca="1" si="101"/>
        <v>40574</v>
      </c>
      <c r="Z1042" s="1"/>
    </row>
    <row r="1043" spans="3:26" x14ac:dyDescent="0.2">
      <c r="C1043" s="39"/>
      <c r="D1043" s="39"/>
      <c r="E1043" s="38">
        <f>[2]!expavg($T$9:$T$26,$R$9:$R$26,K1043,H1043)</f>
        <v>0.64048216018789683</v>
      </c>
      <c r="F1043" s="38" t="str">
        <f>[2]!expavg2($T$9:$T$26,I1043,J1043,$R$9:$R$26)</f>
        <v>ERROR: Please use BegPeriod &gt;= 1.</v>
      </c>
      <c r="H1043" s="2">
        <f t="shared" si="98"/>
        <v>4</v>
      </c>
      <c r="I1043" s="24">
        <f t="shared" si="102"/>
        <v>-40</v>
      </c>
      <c r="J1043" s="24">
        <f t="shared" si="103"/>
        <v>5</v>
      </c>
      <c r="K1043" s="17">
        <f t="shared" si="99"/>
        <v>-44</v>
      </c>
      <c r="M1043" s="15">
        <f t="shared" ca="1" si="100"/>
        <v>0</v>
      </c>
      <c r="N1043" s="15">
        <f t="shared" ca="1" si="101"/>
        <v>40939</v>
      </c>
      <c r="Z1043" s="1"/>
    </row>
    <row r="1044" spans="3:26" x14ac:dyDescent="0.2">
      <c r="C1044" s="39"/>
      <c r="D1044" s="39"/>
      <c r="E1044" s="38">
        <f>[2]!expavg($T$9:$T$26,$R$9:$R$26,K1044,H1044)</f>
        <v>0.62815488340610859</v>
      </c>
      <c r="F1044" s="38" t="str">
        <f>[2]!expavg2($T$9:$T$26,I1044,J1044,$R$9:$R$26)</f>
        <v>ERROR: Please use BegPeriod &gt;= 1.</v>
      </c>
      <c r="H1044" s="2">
        <f t="shared" si="98"/>
        <v>3</v>
      </c>
      <c r="I1044" s="24">
        <f t="shared" si="102"/>
        <v>-40</v>
      </c>
      <c r="J1044" s="24">
        <f t="shared" si="103"/>
        <v>4</v>
      </c>
      <c r="K1044" s="17">
        <f t="shared" si="99"/>
        <v>-43</v>
      </c>
      <c r="M1044" s="15">
        <f t="shared" ca="1" si="100"/>
        <v>0</v>
      </c>
      <c r="N1044" s="15">
        <f t="shared" ca="1" si="101"/>
        <v>41305</v>
      </c>
      <c r="Z1044" s="1"/>
    </row>
    <row r="1045" spans="3:26" x14ac:dyDescent="0.2">
      <c r="C1045" s="39"/>
      <c r="D1045" s="39"/>
      <c r="E1045" s="38">
        <f>[2]!expavg($T$9:$T$26,$R$9:$R$26,K1045,H1045)</f>
        <v>0.62040838094689943</v>
      </c>
      <c r="F1045" s="38" t="str">
        <f>[2]!expavg2($T$9:$T$26,I1045,J1045,$R$9:$R$26)</f>
        <v>ERROR: Please use BegPeriod &gt;= 1.</v>
      </c>
      <c r="H1045" s="2">
        <f t="shared" si="98"/>
        <v>2</v>
      </c>
      <c r="I1045" s="24">
        <f t="shared" si="102"/>
        <v>-40</v>
      </c>
      <c r="J1045" s="24">
        <f t="shared" si="103"/>
        <v>3</v>
      </c>
      <c r="K1045" s="17">
        <f t="shared" si="99"/>
        <v>-42</v>
      </c>
      <c r="M1045" s="15">
        <f t="shared" ca="1" si="100"/>
        <v>0</v>
      </c>
      <c r="N1045" s="15">
        <f t="shared" ca="1" si="101"/>
        <v>41670</v>
      </c>
      <c r="Z1045" s="1"/>
    </row>
    <row r="1046" spans="3:26" x14ac:dyDescent="0.2">
      <c r="C1046" s="39"/>
      <c r="D1046" s="39"/>
      <c r="E1046" s="38">
        <f>[2]!expavg($T$9:$T$26,$R$9:$R$26,K1046,H1046)</f>
        <v>0.60752408974439076</v>
      </c>
      <c r="F1046" s="38" t="str">
        <f>[2]!expavg2($T$9:$T$26,I1046,J1046,$R$9:$R$26)</f>
        <v>ERROR: Please use BegPeriod &gt;= 1.</v>
      </c>
      <c r="H1046" s="2">
        <f t="shared" si="98"/>
        <v>1</v>
      </c>
      <c r="I1046" s="24">
        <f t="shared" si="102"/>
        <v>-40</v>
      </c>
      <c r="J1046" s="24">
        <f t="shared" si="103"/>
        <v>2</v>
      </c>
      <c r="K1046" s="17">
        <f t="shared" si="99"/>
        <v>-41</v>
      </c>
      <c r="M1046" s="15">
        <f t="shared" ca="1" si="100"/>
        <v>0</v>
      </c>
      <c r="N1046" s="15">
        <f t="shared" ca="1" si="101"/>
        <v>42035</v>
      </c>
      <c r="Z1046" s="1"/>
    </row>
    <row r="1047" spans="3:26" x14ac:dyDescent="0.2">
      <c r="C1047" s="39"/>
      <c r="D1047" s="39"/>
      <c r="E1047" s="38">
        <f>[2]!expavg($T$9:$T$26,$R$9:$R$26,K1047,H1047)</f>
        <v>0.60472044954610527</v>
      </c>
      <c r="F1047" s="38" t="str">
        <f>[2]!expavg2($T$9:$T$26,I1047,J1047,$R$9:$R$26)</f>
        <v>ERROR: Please use BegPeriod &gt;= 1.</v>
      </c>
      <c r="H1047" s="2">
        <f t="shared" si="98"/>
        <v>0</v>
      </c>
      <c r="I1047" s="24">
        <f t="shared" si="102"/>
        <v>-40</v>
      </c>
      <c r="J1047" s="24">
        <f t="shared" si="103"/>
        <v>1</v>
      </c>
      <c r="K1047" s="17">
        <f t="shared" si="99"/>
        <v>-40</v>
      </c>
      <c r="M1047" s="15">
        <f t="shared" ca="1" si="100"/>
        <v>0</v>
      </c>
      <c r="N1047" s="15">
        <f t="shared" ca="1" si="101"/>
        <v>42400</v>
      </c>
      <c r="Z1047" s="1"/>
    </row>
    <row r="1048" spans="3:26" x14ac:dyDescent="0.2">
      <c r="C1048" s="39" t="s">
        <v>6</v>
      </c>
      <c r="D1048" s="39" t="s">
        <v>6</v>
      </c>
      <c r="E1048" s="38">
        <f>[2]!expavg($T$9:$T$26,$R$9:$R$26,K1048,H1048)</f>
        <v>0.60472044954610527</v>
      </c>
      <c r="F1048" s="38" t="str">
        <f>[2]!expavg2($T$9:$T$26,I1048,J1048,$R$9:$R$26)</f>
        <v>ERROR: Please use BegPeriod &gt;= 1.</v>
      </c>
      <c r="H1048" s="2">
        <f t="shared" si="98"/>
        <v>-1</v>
      </c>
      <c r="I1048" s="24">
        <f t="shared" si="102"/>
        <v>-40</v>
      </c>
      <c r="J1048" s="24">
        <f t="shared" si="103"/>
        <v>0</v>
      </c>
      <c r="K1048" s="17">
        <f t="shared" si="99"/>
        <v>-39</v>
      </c>
      <c r="M1048" s="15">
        <f t="shared" ca="1" si="100"/>
        <v>0</v>
      </c>
      <c r="N1048" s="15">
        <f t="shared" ca="1" si="101"/>
        <v>0</v>
      </c>
      <c r="Z1048" s="1"/>
    </row>
    <row r="1049" spans="3:26" x14ac:dyDescent="0.2">
      <c r="Z1049" s="1"/>
    </row>
    <row r="1050" spans="3:26" x14ac:dyDescent="0.2">
      <c r="Z1050" s="1"/>
    </row>
    <row r="1051" spans="3:26" x14ac:dyDescent="0.2">
      <c r="Z1051" s="1"/>
    </row>
    <row r="1052" spans="3:26" x14ac:dyDescent="0.2">
      <c r="Z1052" s="1"/>
    </row>
    <row r="1053" spans="3:26" x14ac:dyDescent="0.2">
      <c r="Z1053" s="1"/>
    </row>
    <row r="1054" spans="3:26" x14ac:dyDescent="0.2">
      <c r="Z1054" s="1"/>
    </row>
    <row r="1055" spans="3:26" x14ac:dyDescent="0.2">
      <c r="Z1055" s="1"/>
    </row>
    <row r="1056" spans="3:26" x14ac:dyDescent="0.2">
      <c r="Z1056" s="1"/>
    </row>
    <row r="1057" spans="26:26" x14ac:dyDescent="0.2">
      <c r="Z1057" s="1"/>
    </row>
    <row r="1058" spans="26:26" x14ac:dyDescent="0.2">
      <c r="Z1058" s="1"/>
    </row>
    <row r="1059" spans="26:26" x14ac:dyDescent="0.2">
      <c r="Z1059" s="1"/>
    </row>
    <row r="1060" spans="26:26" x14ac:dyDescent="0.2">
      <c r="Z1060" s="1"/>
    </row>
    <row r="1061" spans="26:26" x14ac:dyDescent="0.2">
      <c r="Z1061" s="1"/>
    </row>
    <row r="1062" spans="26:26" x14ac:dyDescent="0.2">
      <c r="Z1062" s="1"/>
    </row>
    <row r="1063" spans="26:26" x14ac:dyDescent="0.2">
      <c r="Z1063" s="1"/>
    </row>
    <row r="1064" spans="26:26" x14ac:dyDescent="0.2">
      <c r="Z1064" s="1"/>
    </row>
    <row r="1065" spans="26:26" x14ac:dyDescent="0.2">
      <c r="Z1065" s="1"/>
    </row>
    <row r="1066" spans="26:26" x14ac:dyDescent="0.2">
      <c r="Z1066" s="1"/>
    </row>
    <row r="1067" spans="26:26" x14ac:dyDescent="0.2">
      <c r="Z1067" s="1"/>
    </row>
    <row r="1068" spans="26:26" x14ac:dyDescent="0.2">
      <c r="Z1068" s="1"/>
    </row>
    <row r="1069" spans="26:26" x14ac:dyDescent="0.2">
      <c r="Z1069" s="1"/>
    </row>
    <row r="1070" spans="26:26" x14ac:dyDescent="0.2">
      <c r="Z1070" s="1"/>
    </row>
    <row r="1071" spans="26:26" x14ac:dyDescent="0.2">
      <c r="Z1071" s="1"/>
    </row>
    <row r="1072" spans="26:26" x14ac:dyDescent="0.2">
      <c r="Z1072" s="1"/>
    </row>
    <row r="1073" spans="26:26" x14ac:dyDescent="0.2">
      <c r="Z1073" s="1"/>
    </row>
    <row r="1074" spans="26:26" x14ac:dyDescent="0.2">
      <c r="Z1074" s="1"/>
    </row>
    <row r="1075" spans="26:26" x14ac:dyDescent="0.2">
      <c r="Z1075" s="1"/>
    </row>
    <row r="1076" spans="26:26" x14ac:dyDescent="0.2">
      <c r="Z1076" s="1"/>
    </row>
    <row r="1077" spans="26:26" x14ac:dyDescent="0.2">
      <c r="Z1077" s="1"/>
    </row>
    <row r="1078" spans="26:26" x14ac:dyDescent="0.2">
      <c r="Z1078" s="1"/>
    </row>
    <row r="1079" spans="26:26" x14ac:dyDescent="0.2">
      <c r="Z1079" s="1"/>
    </row>
    <row r="1080" spans="26:26" x14ac:dyDescent="0.2">
      <c r="Z1080" s="1"/>
    </row>
    <row r="1081" spans="26:26" x14ac:dyDescent="0.2">
      <c r="Z1081" s="1"/>
    </row>
    <row r="1082" spans="26:26" x14ac:dyDescent="0.2">
      <c r="Z1082" s="1"/>
    </row>
    <row r="1083" spans="26:26" x14ac:dyDescent="0.2">
      <c r="Z1083" s="1"/>
    </row>
    <row r="1084" spans="26:26" x14ac:dyDescent="0.2">
      <c r="Z1084" s="1"/>
    </row>
    <row r="1085" spans="26:26" x14ac:dyDescent="0.2">
      <c r="Z1085" s="1"/>
    </row>
    <row r="1086" spans="26:26" x14ac:dyDescent="0.2">
      <c r="Z1086" s="1"/>
    </row>
    <row r="1087" spans="26:26" x14ac:dyDescent="0.2">
      <c r="Z1087" s="1"/>
    </row>
    <row r="1088" spans="26:26" x14ac:dyDescent="0.2">
      <c r="Z1088" s="1"/>
    </row>
    <row r="1089" spans="26:26" x14ac:dyDescent="0.2">
      <c r="Z1089" s="1"/>
    </row>
    <row r="1090" spans="26:26" x14ac:dyDescent="0.2">
      <c r="Z1090" s="1"/>
    </row>
    <row r="1091" spans="26:26" x14ac:dyDescent="0.2">
      <c r="Z1091" s="1"/>
    </row>
    <row r="1092" spans="26:26" x14ac:dyDescent="0.2">
      <c r="Z1092" s="1"/>
    </row>
    <row r="1093" spans="26:26" x14ac:dyDescent="0.2">
      <c r="Z1093" s="1"/>
    </row>
    <row r="1094" spans="26:26" x14ac:dyDescent="0.2">
      <c r="Z1094" s="1"/>
    </row>
    <row r="1095" spans="26:26" x14ac:dyDescent="0.2">
      <c r="Z1095" s="1"/>
    </row>
    <row r="1096" spans="26:26" x14ac:dyDescent="0.2">
      <c r="Z1096" s="1"/>
    </row>
    <row r="1097" spans="26:26" x14ac:dyDescent="0.2">
      <c r="Z1097" s="1"/>
    </row>
    <row r="1098" spans="26:26" x14ac:dyDescent="0.2">
      <c r="Z1098" s="1"/>
    </row>
    <row r="1099" spans="26:26" x14ac:dyDescent="0.2">
      <c r="Z1099" s="1"/>
    </row>
    <row r="1100" spans="26:26" x14ac:dyDescent="0.2">
      <c r="Z1100" s="1"/>
    </row>
    <row r="1101" spans="26:26" x14ac:dyDescent="0.2">
      <c r="Z1101" s="1"/>
    </row>
    <row r="1102" spans="26:26" x14ac:dyDescent="0.2">
      <c r="Z1102" s="1"/>
    </row>
    <row r="1103" spans="26:26" x14ac:dyDescent="0.2">
      <c r="Z1103" s="1"/>
    </row>
    <row r="1104" spans="26:26" x14ac:dyDescent="0.2">
      <c r="Z1104" s="1"/>
    </row>
    <row r="1105" spans="26:26" x14ac:dyDescent="0.2">
      <c r="Z1105" s="1"/>
    </row>
    <row r="1106" spans="26:26" x14ac:dyDescent="0.2">
      <c r="Z1106" s="1"/>
    </row>
    <row r="1107" spans="26:26" x14ac:dyDescent="0.2">
      <c r="Z1107" s="1"/>
    </row>
    <row r="1108" spans="26:26" x14ac:dyDescent="0.2">
      <c r="Z1108" s="1"/>
    </row>
    <row r="1109" spans="26:26" x14ac:dyDescent="0.2">
      <c r="Z1109" s="1"/>
    </row>
    <row r="1110" spans="26:26" x14ac:dyDescent="0.2">
      <c r="Z1110" s="1"/>
    </row>
    <row r="1111" spans="26:26" x14ac:dyDescent="0.2">
      <c r="Z1111" s="1"/>
    </row>
    <row r="1112" spans="26:26" x14ac:dyDescent="0.2">
      <c r="Z1112" s="1"/>
    </row>
    <row r="1113" spans="26:26" x14ac:dyDescent="0.2">
      <c r="Z1113" s="1"/>
    </row>
    <row r="1114" spans="26:26" x14ac:dyDescent="0.2">
      <c r="Z1114" s="1"/>
    </row>
    <row r="1115" spans="26:26" x14ac:dyDescent="0.2">
      <c r="Z1115" s="1"/>
    </row>
    <row r="1116" spans="26:26" x14ac:dyDescent="0.2">
      <c r="Z1116" s="1"/>
    </row>
    <row r="1117" spans="26:26" x14ac:dyDescent="0.2">
      <c r="Z1117" s="1"/>
    </row>
    <row r="1118" spans="26:26" x14ac:dyDescent="0.2">
      <c r="Z1118" s="1"/>
    </row>
    <row r="1119" spans="26:26" x14ac:dyDescent="0.2">
      <c r="Z1119" s="1"/>
    </row>
    <row r="1120" spans="26:26" x14ac:dyDescent="0.2">
      <c r="Z1120" s="1"/>
    </row>
    <row r="1121" spans="26:26" x14ac:dyDescent="0.2">
      <c r="Z1121" s="1"/>
    </row>
    <row r="1122" spans="26:26" x14ac:dyDescent="0.2">
      <c r="Z1122" s="1"/>
    </row>
    <row r="1123" spans="26:26" x14ac:dyDescent="0.2">
      <c r="Z1123" s="1"/>
    </row>
    <row r="1124" spans="26:26" x14ac:dyDescent="0.2">
      <c r="Z1124" s="1"/>
    </row>
    <row r="1125" spans="26:26" x14ac:dyDescent="0.2">
      <c r="Z1125" s="1"/>
    </row>
    <row r="1126" spans="26:26" x14ac:dyDescent="0.2">
      <c r="Z1126" s="1"/>
    </row>
    <row r="1127" spans="26:26" x14ac:dyDescent="0.2">
      <c r="Z1127" s="1"/>
    </row>
    <row r="1128" spans="26:26" x14ac:dyDescent="0.2">
      <c r="Z1128" s="1"/>
    </row>
    <row r="1129" spans="26:26" x14ac:dyDescent="0.2">
      <c r="Z1129" s="1"/>
    </row>
    <row r="1130" spans="26:26" x14ac:dyDescent="0.2">
      <c r="Z1130" s="1"/>
    </row>
    <row r="1131" spans="26:26" x14ac:dyDescent="0.2">
      <c r="Z1131" s="1"/>
    </row>
    <row r="1132" spans="26:26" x14ac:dyDescent="0.2">
      <c r="Z1132" s="1"/>
    </row>
    <row r="1133" spans="26:26" x14ac:dyDescent="0.2">
      <c r="Z1133" s="1"/>
    </row>
    <row r="1134" spans="26:26" x14ac:dyDescent="0.2">
      <c r="Z1134" s="1"/>
    </row>
    <row r="1135" spans="26:26" x14ac:dyDescent="0.2">
      <c r="Z1135" s="1"/>
    </row>
    <row r="1136" spans="26:26" x14ac:dyDescent="0.2">
      <c r="Z1136" s="1"/>
    </row>
    <row r="1137" spans="26:26" x14ac:dyDescent="0.2">
      <c r="Z1137" s="1"/>
    </row>
    <row r="1138" spans="26:26" x14ac:dyDescent="0.2">
      <c r="Z1138" s="1"/>
    </row>
    <row r="1139" spans="26:26" x14ac:dyDescent="0.2">
      <c r="Z1139" s="1"/>
    </row>
    <row r="1140" spans="26:26" x14ac:dyDescent="0.2">
      <c r="Z1140" s="1"/>
    </row>
    <row r="1141" spans="26:26" x14ac:dyDescent="0.2">
      <c r="Z1141" s="1"/>
    </row>
    <row r="1142" spans="26:26" x14ac:dyDescent="0.2">
      <c r="Z1142" s="1"/>
    </row>
    <row r="1143" spans="26:26" x14ac:dyDescent="0.2">
      <c r="Z1143" s="1"/>
    </row>
    <row r="1144" spans="26:26" x14ac:dyDescent="0.2">
      <c r="Z1144" s="1"/>
    </row>
    <row r="1145" spans="26:26" x14ac:dyDescent="0.2">
      <c r="Z1145" s="1"/>
    </row>
    <row r="1146" spans="26:26" x14ac:dyDescent="0.2">
      <c r="Z1146" s="1"/>
    </row>
    <row r="1147" spans="26:26" x14ac:dyDescent="0.2">
      <c r="Z1147" s="1"/>
    </row>
    <row r="1148" spans="26:26" x14ac:dyDescent="0.2">
      <c r="Z1148" s="1"/>
    </row>
    <row r="1149" spans="26:26" x14ac:dyDescent="0.2">
      <c r="Z1149" s="1"/>
    </row>
    <row r="1150" spans="26:26" x14ac:dyDescent="0.2">
      <c r="Z1150" s="1"/>
    </row>
    <row r="1151" spans="26:26" x14ac:dyDescent="0.2">
      <c r="Z1151" s="1"/>
    </row>
    <row r="1152" spans="26:26" x14ac:dyDescent="0.2">
      <c r="Z1152" s="1"/>
    </row>
    <row r="1153" spans="26:26" x14ac:dyDescent="0.2">
      <c r="Z1153" s="1"/>
    </row>
    <row r="1154" spans="26:26" x14ac:dyDescent="0.2">
      <c r="Z1154" s="1"/>
    </row>
    <row r="1155" spans="26:26" x14ac:dyDescent="0.2">
      <c r="Z1155" s="1"/>
    </row>
    <row r="1156" spans="26:26" x14ac:dyDescent="0.2">
      <c r="Z1156" s="1"/>
    </row>
    <row r="1157" spans="26:26" x14ac:dyDescent="0.2">
      <c r="Z1157" s="1"/>
    </row>
    <row r="1158" spans="26:26" x14ac:dyDescent="0.2">
      <c r="Z1158" s="1"/>
    </row>
    <row r="1159" spans="26:26" x14ac:dyDescent="0.2">
      <c r="Z1159" s="1"/>
    </row>
    <row r="1160" spans="26:26" x14ac:dyDescent="0.2">
      <c r="Z1160" s="1"/>
    </row>
    <row r="1161" spans="26:26" x14ac:dyDescent="0.2">
      <c r="Z1161" s="1"/>
    </row>
    <row r="1162" spans="26:26" x14ac:dyDescent="0.2">
      <c r="Z1162" s="1"/>
    </row>
    <row r="1163" spans="26:26" x14ac:dyDescent="0.2">
      <c r="Z1163" s="1"/>
    </row>
    <row r="1164" spans="26:26" x14ac:dyDescent="0.2">
      <c r="Z1164" s="1"/>
    </row>
    <row r="1165" spans="26:26" x14ac:dyDescent="0.2">
      <c r="Z1165" s="1"/>
    </row>
    <row r="1166" spans="26:26" x14ac:dyDescent="0.2">
      <c r="Z1166" s="1"/>
    </row>
    <row r="1167" spans="26:26" x14ac:dyDescent="0.2">
      <c r="Z1167" s="1"/>
    </row>
    <row r="1168" spans="26:26" x14ac:dyDescent="0.2">
      <c r="Z1168" s="1"/>
    </row>
    <row r="1169" spans="26:26" x14ac:dyDescent="0.2">
      <c r="Z1169" s="1"/>
    </row>
    <row r="1170" spans="26:26" x14ac:dyDescent="0.2">
      <c r="Z1170" s="1"/>
    </row>
    <row r="1171" spans="26:26" x14ac:dyDescent="0.2">
      <c r="Z1171" s="1"/>
    </row>
    <row r="1172" spans="26:26" x14ac:dyDescent="0.2">
      <c r="Z1172" s="1"/>
    </row>
    <row r="1173" spans="26:26" x14ac:dyDescent="0.2">
      <c r="Z1173" s="1"/>
    </row>
    <row r="1174" spans="26:26" x14ac:dyDescent="0.2">
      <c r="Z1174" s="1"/>
    </row>
    <row r="1175" spans="26:26" x14ac:dyDescent="0.2">
      <c r="Z1175" s="1"/>
    </row>
    <row r="1176" spans="26:26" x14ac:dyDescent="0.2">
      <c r="Z1176" s="1"/>
    </row>
    <row r="1177" spans="26:26" x14ac:dyDescent="0.2">
      <c r="Z1177" s="1"/>
    </row>
    <row r="1178" spans="26:26" x14ac:dyDescent="0.2">
      <c r="Z1178" s="1"/>
    </row>
    <row r="1179" spans="26:26" x14ac:dyDescent="0.2">
      <c r="Z1179" s="1"/>
    </row>
    <row r="1180" spans="26:26" x14ac:dyDescent="0.2">
      <c r="Z1180" s="1"/>
    </row>
    <row r="1181" spans="26:26" x14ac:dyDescent="0.2">
      <c r="Z1181" s="1"/>
    </row>
    <row r="1182" spans="26:26" x14ac:dyDescent="0.2">
      <c r="Z1182" s="1"/>
    </row>
    <row r="1183" spans="26:26" x14ac:dyDescent="0.2">
      <c r="Z1183" s="1"/>
    </row>
    <row r="1184" spans="26:26" x14ac:dyDescent="0.2">
      <c r="Z1184" s="1"/>
    </row>
    <row r="1185" spans="26:26" x14ac:dyDescent="0.2">
      <c r="Z1185" s="1"/>
    </row>
    <row r="1186" spans="26:26" x14ac:dyDescent="0.2">
      <c r="Z1186" s="1"/>
    </row>
    <row r="1187" spans="26:26" x14ac:dyDescent="0.2">
      <c r="Z1187" s="1"/>
    </row>
    <row r="1188" spans="26:26" x14ac:dyDescent="0.2">
      <c r="Z1188" s="1"/>
    </row>
    <row r="1189" spans="26:26" x14ac:dyDescent="0.2">
      <c r="Z1189" s="1"/>
    </row>
    <row r="1190" spans="26:26" x14ac:dyDescent="0.2">
      <c r="Z1190" s="1"/>
    </row>
    <row r="1191" spans="26:26" x14ac:dyDescent="0.2">
      <c r="Z1191" s="1"/>
    </row>
    <row r="1192" spans="26:26" x14ac:dyDescent="0.2">
      <c r="Z1192" s="1"/>
    </row>
    <row r="1193" spans="26:26" x14ac:dyDescent="0.2">
      <c r="Z1193" s="1"/>
    </row>
    <row r="1194" spans="26:26" x14ac:dyDescent="0.2">
      <c r="Z1194" s="1"/>
    </row>
    <row r="1195" spans="26:26" x14ac:dyDescent="0.2">
      <c r="Z1195" s="1"/>
    </row>
    <row r="1196" spans="26:26" x14ac:dyDescent="0.2">
      <c r="Z1196" s="1"/>
    </row>
    <row r="1197" spans="26:26" x14ac:dyDescent="0.2">
      <c r="Z1197" s="1"/>
    </row>
    <row r="1198" spans="26:26" x14ac:dyDescent="0.2">
      <c r="Z1198" s="1"/>
    </row>
    <row r="1199" spans="26:26" x14ac:dyDescent="0.2">
      <c r="Z1199" s="1"/>
    </row>
    <row r="1200" spans="26:26" x14ac:dyDescent="0.2">
      <c r="Z1200" s="1"/>
    </row>
    <row r="1201" spans="26:26" x14ac:dyDescent="0.2">
      <c r="Z1201" s="1"/>
    </row>
    <row r="1202" spans="26:26" x14ac:dyDescent="0.2">
      <c r="Z1202" s="1"/>
    </row>
    <row r="1203" spans="26:26" x14ac:dyDescent="0.2">
      <c r="Z1203" s="1"/>
    </row>
    <row r="1204" spans="26:26" x14ac:dyDescent="0.2">
      <c r="Z1204" s="1"/>
    </row>
    <row r="1205" spans="26:26" x14ac:dyDescent="0.2">
      <c r="Z1205" s="1"/>
    </row>
    <row r="1206" spans="26:26" x14ac:dyDescent="0.2">
      <c r="Z1206" s="1"/>
    </row>
    <row r="1207" spans="26:26" x14ac:dyDescent="0.2">
      <c r="Z1207" s="1"/>
    </row>
    <row r="1208" spans="26:26" x14ac:dyDescent="0.2">
      <c r="Z1208" s="1"/>
    </row>
    <row r="1209" spans="26:26" x14ac:dyDescent="0.2">
      <c r="Z1209" s="1"/>
    </row>
    <row r="1210" spans="26:26" x14ac:dyDescent="0.2">
      <c r="Z1210" s="1"/>
    </row>
    <row r="1211" spans="26:26" x14ac:dyDescent="0.2">
      <c r="Z1211" s="1"/>
    </row>
    <row r="1212" spans="26:26" x14ac:dyDescent="0.2">
      <c r="Z1212" s="1"/>
    </row>
    <row r="1213" spans="26:26" x14ac:dyDescent="0.2">
      <c r="Z1213" s="1"/>
    </row>
    <row r="1214" spans="26:26" x14ac:dyDescent="0.2">
      <c r="Z1214" s="1"/>
    </row>
    <row r="1215" spans="26:26" x14ac:dyDescent="0.2">
      <c r="Z1215" s="1"/>
    </row>
    <row r="1216" spans="26:26" x14ac:dyDescent="0.2">
      <c r="Z1216" s="1"/>
    </row>
    <row r="1217" spans="26:26" x14ac:dyDescent="0.2">
      <c r="Z1217" s="1"/>
    </row>
    <row r="1218" spans="26:26" x14ac:dyDescent="0.2">
      <c r="Z1218" s="1"/>
    </row>
    <row r="1219" spans="26:26" x14ac:dyDescent="0.2">
      <c r="Z1219" s="1"/>
    </row>
    <row r="1220" spans="26:26" x14ac:dyDescent="0.2">
      <c r="Z1220" s="1"/>
    </row>
    <row r="1221" spans="26:26" x14ac:dyDescent="0.2">
      <c r="Z1221" s="1"/>
    </row>
    <row r="1222" spans="26:26" x14ac:dyDescent="0.2">
      <c r="Z1222" s="1"/>
    </row>
    <row r="1223" spans="26:26" x14ac:dyDescent="0.2">
      <c r="Z1223" s="1"/>
    </row>
    <row r="1224" spans="26:26" x14ac:dyDescent="0.2">
      <c r="Z1224" s="1"/>
    </row>
    <row r="1225" spans="26:26" x14ac:dyDescent="0.2">
      <c r="Z1225" s="1"/>
    </row>
    <row r="1226" spans="26:26" x14ac:dyDescent="0.2">
      <c r="Z1226" s="1"/>
    </row>
    <row r="1227" spans="26:26" x14ac:dyDescent="0.2">
      <c r="Z1227" s="1"/>
    </row>
    <row r="1228" spans="26:26" x14ac:dyDescent="0.2">
      <c r="Z1228" s="1"/>
    </row>
    <row r="1229" spans="26:26" x14ac:dyDescent="0.2">
      <c r="Z1229" s="1"/>
    </row>
    <row r="1230" spans="26:26" x14ac:dyDescent="0.2">
      <c r="Z1230" s="1"/>
    </row>
    <row r="1231" spans="26:26" x14ac:dyDescent="0.2">
      <c r="Z1231" s="1"/>
    </row>
    <row r="1232" spans="26:26" x14ac:dyDescent="0.2">
      <c r="Z1232" s="1"/>
    </row>
    <row r="1233" spans="26:26" x14ac:dyDescent="0.2">
      <c r="Z1233" s="1"/>
    </row>
    <row r="1234" spans="26:26" x14ac:dyDescent="0.2">
      <c r="Z1234" s="1"/>
    </row>
    <row r="1235" spans="26:26" x14ac:dyDescent="0.2">
      <c r="Z1235" s="1"/>
    </row>
    <row r="1236" spans="26:26" x14ac:dyDescent="0.2">
      <c r="Z1236" s="1"/>
    </row>
    <row r="1237" spans="26:26" x14ac:dyDescent="0.2">
      <c r="Z1237" s="1"/>
    </row>
    <row r="1238" spans="26:26" x14ac:dyDescent="0.2">
      <c r="Z1238" s="1"/>
    </row>
    <row r="1239" spans="26:26" x14ac:dyDescent="0.2">
      <c r="Z1239" s="1"/>
    </row>
    <row r="1240" spans="26:26" x14ac:dyDescent="0.2">
      <c r="Z1240" s="1"/>
    </row>
    <row r="1241" spans="26:26" x14ac:dyDescent="0.2">
      <c r="Z1241" s="1"/>
    </row>
    <row r="1242" spans="26:26" x14ac:dyDescent="0.2">
      <c r="Z1242" s="1"/>
    </row>
    <row r="1243" spans="26:26" x14ac:dyDescent="0.2">
      <c r="Z1243" s="1"/>
    </row>
    <row r="1244" spans="26:26" x14ac:dyDescent="0.2">
      <c r="Z1244" s="1"/>
    </row>
    <row r="1245" spans="26:26" x14ac:dyDescent="0.2">
      <c r="Z1245" s="1"/>
    </row>
    <row r="1246" spans="26:26" x14ac:dyDescent="0.2">
      <c r="Z1246" s="1"/>
    </row>
    <row r="1247" spans="26:26" x14ac:dyDescent="0.2">
      <c r="Z1247" s="1"/>
    </row>
    <row r="1248" spans="26:26" x14ac:dyDescent="0.2">
      <c r="Z1248" s="1"/>
    </row>
    <row r="1249" spans="26:26" x14ac:dyDescent="0.2">
      <c r="Z1249" s="1"/>
    </row>
    <row r="1250" spans="26:26" x14ac:dyDescent="0.2">
      <c r="Z1250" s="1"/>
    </row>
    <row r="1251" spans="26:26" x14ac:dyDescent="0.2">
      <c r="Z1251" s="1"/>
    </row>
    <row r="1252" spans="26:26" x14ac:dyDescent="0.2">
      <c r="Z1252" s="1"/>
    </row>
    <row r="1253" spans="26:26" x14ac:dyDescent="0.2">
      <c r="Z1253" s="1"/>
    </row>
    <row r="1254" spans="26:26" x14ac:dyDescent="0.2">
      <c r="Z1254" s="1"/>
    </row>
    <row r="1255" spans="26:26" x14ac:dyDescent="0.2">
      <c r="Z1255" s="1"/>
    </row>
    <row r="1256" spans="26:26" x14ac:dyDescent="0.2">
      <c r="Z1256" s="1"/>
    </row>
    <row r="1257" spans="26:26" x14ac:dyDescent="0.2">
      <c r="Z1257" s="1"/>
    </row>
    <row r="1258" spans="26:26" x14ac:dyDescent="0.2">
      <c r="Z1258" s="1"/>
    </row>
    <row r="1259" spans="26:26" x14ac:dyDescent="0.2">
      <c r="Z1259" s="1"/>
    </row>
    <row r="1260" spans="26:26" x14ac:dyDescent="0.2">
      <c r="Z1260" s="1"/>
    </row>
    <row r="1261" spans="26:26" x14ac:dyDescent="0.2">
      <c r="Z1261" s="1"/>
    </row>
    <row r="1262" spans="26:26" x14ac:dyDescent="0.2">
      <c r="Z1262" s="1"/>
    </row>
    <row r="1263" spans="26:26" x14ac:dyDescent="0.2">
      <c r="Z1263" s="1"/>
    </row>
    <row r="1264" spans="26:26" x14ac:dyDescent="0.2">
      <c r="Z1264" s="1"/>
    </row>
    <row r="1265" spans="26:26" x14ac:dyDescent="0.2">
      <c r="Z1265" s="1"/>
    </row>
    <row r="1266" spans="26:26" x14ac:dyDescent="0.2">
      <c r="Z1266" s="1"/>
    </row>
    <row r="1267" spans="26:26" x14ac:dyDescent="0.2">
      <c r="Z1267" s="1"/>
    </row>
    <row r="1268" spans="26:26" x14ac:dyDescent="0.2">
      <c r="Z1268" s="1"/>
    </row>
    <row r="1269" spans="26:26" x14ac:dyDescent="0.2">
      <c r="Z1269" s="1"/>
    </row>
    <row r="1270" spans="26:26" x14ac:dyDescent="0.2">
      <c r="Z1270" s="1"/>
    </row>
    <row r="1271" spans="26:26" x14ac:dyDescent="0.2">
      <c r="Z1271" s="1"/>
    </row>
    <row r="1272" spans="26:26" x14ac:dyDescent="0.2">
      <c r="Z1272" s="1"/>
    </row>
    <row r="1273" spans="26:26" x14ac:dyDescent="0.2">
      <c r="Z1273" s="1"/>
    </row>
    <row r="1274" spans="26:26" x14ac:dyDescent="0.2">
      <c r="Z1274" s="1"/>
    </row>
    <row r="1275" spans="26:26" x14ac:dyDescent="0.2">
      <c r="Z1275" s="1"/>
    </row>
    <row r="1276" spans="26:26" x14ac:dyDescent="0.2">
      <c r="Z1276" s="1"/>
    </row>
    <row r="1277" spans="26:26" x14ac:dyDescent="0.2">
      <c r="Z1277" s="1"/>
    </row>
    <row r="1278" spans="26:26" x14ac:dyDescent="0.2">
      <c r="Z1278" s="1"/>
    </row>
    <row r="1279" spans="26:26" x14ac:dyDescent="0.2">
      <c r="Z1279" s="1"/>
    </row>
    <row r="1280" spans="26:26" x14ac:dyDescent="0.2">
      <c r="Z1280" s="1"/>
    </row>
    <row r="1281" spans="26:26" x14ac:dyDescent="0.2">
      <c r="Z1281" s="1"/>
    </row>
    <row r="1282" spans="26:26" x14ac:dyDescent="0.2">
      <c r="Z1282" s="1"/>
    </row>
    <row r="1283" spans="26:26" x14ac:dyDescent="0.2">
      <c r="Z1283" s="1"/>
    </row>
    <row r="1284" spans="26:26" x14ac:dyDescent="0.2">
      <c r="Z1284" s="1"/>
    </row>
    <row r="1285" spans="26:26" x14ac:dyDescent="0.2">
      <c r="Z1285" s="1"/>
    </row>
    <row r="1286" spans="26:26" x14ac:dyDescent="0.2">
      <c r="Z1286" s="1"/>
    </row>
    <row r="1287" spans="26:26" x14ac:dyDescent="0.2">
      <c r="Z1287" s="1"/>
    </row>
    <row r="1288" spans="26:26" x14ac:dyDescent="0.2">
      <c r="Z1288" s="1"/>
    </row>
    <row r="1289" spans="26:26" x14ac:dyDescent="0.2">
      <c r="Z1289" s="1"/>
    </row>
    <row r="1290" spans="26:26" x14ac:dyDescent="0.2">
      <c r="Z1290" s="1"/>
    </row>
    <row r="1291" spans="26:26" x14ac:dyDescent="0.2">
      <c r="Z1291" s="1"/>
    </row>
    <row r="1292" spans="26:26" x14ac:dyDescent="0.2">
      <c r="Z1292" s="1"/>
    </row>
    <row r="1293" spans="26:26" x14ac:dyDescent="0.2">
      <c r="Z1293" s="1"/>
    </row>
    <row r="1294" spans="26:26" x14ac:dyDescent="0.2">
      <c r="Z1294" s="1"/>
    </row>
    <row r="1295" spans="26:26" x14ac:dyDescent="0.2">
      <c r="Z1295" s="1"/>
    </row>
    <row r="1296" spans="26:26" x14ac:dyDescent="0.2">
      <c r="Z1296" s="1"/>
    </row>
    <row r="1297" spans="26:26" x14ac:dyDescent="0.2">
      <c r="Z1297" s="1"/>
    </row>
    <row r="1298" spans="26:26" x14ac:dyDescent="0.2">
      <c r="Z1298" s="1"/>
    </row>
    <row r="1299" spans="26:26" x14ac:dyDescent="0.2">
      <c r="Z1299" s="1"/>
    </row>
    <row r="1300" spans="26:26" x14ac:dyDescent="0.2">
      <c r="Z1300" s="1"/>
    </row>
    <row r="1301" spans="26:26" x14ac:dyDescent="0.2">
      <c r="Z1301" s="1"/>
    </row>
    <row r="1302" spans="26:26" x14ac:dyDescent="0.2">
      <c r="Z1302" s="1"/>
    </row>
    <row r="1303" spans="26:26" x14ac:dyDescent="0.2">
      <c r="Z1303" s="1"/>
    </row>
    <row r="1304" spans="26:26" x14ac:dyDescent="0.2">
      <c r="Z1304" s="1"/>
    </row>
    <row r="1305" spans="26:26" x14ac:dyDescent="0.2">
      <c r="Z1305" s="1"/>
    </row>
    <row r="1306" spans="26:26" x14ac:dyDescent="0.2">
      <c r="Z1306" s="1"/>
    </row>
    <row r="1307" spans="26:26" x14ac:dyDescent="0.2">
      <c r="Z1307" s="1"/>
    </row>
    <row r="1308" spans="26:26" x14ac:dyDescent="0.2">
      <c r="Z1308" s="1"/>
    </row>
    <row r="1309" spans="26:26" x14ac:dyDescent="0.2">
      <c r="Z1309" s="1"/>
    </row>
    <row r="1310" spans="26:26" x14ac:dyDescent="0.2">
      <c r="Z1310" s="1"/>
    </row>
    <row r="1311" spans="26:26" x14ac:dyDescent="0.2">
      <c r="Z1311" s="1"/>
    </row>
    <row r="1312" spans="26:26" x14ac:dyDescent="0.2">
      <c r="Z1312" s="1"/>
    </row>
    <row r="1313" spans="26:26" x14ac:dyDescent="0.2">
      <c r="Z1313" s="1"/>
    </row>
    <row r="1314" spans="26:26" x14ac:dyDescent="0.2">
      <c r="Z1314" s="1"/>
    </row>
    <row r="1315" spans="26:26" x14ac:dyDescent="0.2">
      <c r="Z1315" s="1"/>
    </row>
    <row r="1316" spans="26:26" x14ac:dyDescent="0.2">
      <c r="Z1316" s="1"/>
    </row>
    <row r="1317" spans="26:26" x14ac:dyDescent="0.2">
      <c r="Z1317" s="1"/>
    </row>
    <row r="1318" spans="26:26" x14ac:dyDescent="0.2">
      <c r="Z1318" s="1"/>
    </row>
    <row r="1319" spans="26:26" x14ac:dyDescent="0.2">
      <c r="Z1319" s="1"/>
    </row>
    <row r="1320" spans="26:26" x14ac:dyDescent="0.2">
      <c r="Z1320" s="1"/>
    </row>
    <row r="1321" spans="26:26" x14ac:dyDescent="0.2">
      <c r="Z1321" s="1"/>
    </row>
    <row r="1322" spans="26:26" x14ac:dyDescent="0.2">
      <c r="Z1322" s="1"/>
    </row>
    <row r="1323" spans="26:26" x14ac:dyDescent="0.2">
      <c r="Z1323" s="1"/>
    </row>
    <row r="1324" spans="26:26" x14ac:dyDescent="0.2">
      <c r="Z1324" s="1"/>
    </row>
    <row r="1325" spans="26:26" x14ac:dyDescent="0.2">
      <c r="Z1325" s="1"/>
    </row>
    <row r="1326" spans="26:26" x14ac:dyDescent="0.2">
      <c r="Z1326" s="1"/>
    </row>
    <row r="1327" spans="26:26" x14ac:dyDescent="0.2">
      <c r="Z1327" s="1"/>
    </row>
    <row r="1328" spans="26:26" x14ac:dyDescent="0.2">
      <c r="Z1328" s="1"/>
    </row>
    <row r="1329" spans="26:26" x14ac:dyDescent="0.2">
      <c r="Z1329" s="1"/>
    </row>
    <row r="1330" spans="26:26" x14ac:dyDescent="0.2">
      <c r="Z1330" s="1"/>
    </row>
    <row r="1331" spans="26:26" x14ac:dyDescent="0.2">
      <c r="Z1331" s="1"/>
    </row>
    <row r="1332" spans="26:26" x14ac:dyDescent="0.2">
      <c r="Z1332" s="1"/>
    </row>
    <row r="1333" spans="26:26" x14ac:dyDescent="0.2">
      <c r="Z1333" s="1"/>
    </row>
    <row r="1334" spans="26:26" x14ac:dyDescent="0.2">
      <c r="Z1334" s="1"/>
    </row>
    <row r="1335" spans="26:26" x14ac:dyDescent="0.2">
      <c r="Z1335" s="1"/>
    </row>
    <row r="1336" spans="26:26" x14ac:dyDescent="0.2">
      <c r="Z1336" s="1"/>
    </row>
    <row r="1337" spans="26:26" x14ac:dyDescent="0.2">
      <c r="Z1337" s="1"/>
    </row>
    <row r="1338" spans="26:26" x14ac:dyDescent="0.2">
      <c r="Z1338" s="1"/>
    </row>
    <row r="1339" spans="26:26" x14ac:dyDescent="0.2">
      <c r="Z1339" s="1"/>
    </row>
    <row r="1340" spans="26:26" x14ac:dyDescent="0.2">
      <c r="Z1340" s="1"/>
    </row>
    <row r="1341" spans="26:26" x14ac:dyDescent="0.2">
      <c r="Z1341" s="1"/>
    </row>
    <row r="1342" spans="26:26" x14ac:dyDescent="0.2">
      <c r="Z1342" s="1"/>
    </row>
    <row r="1343" spans="26:26" x14ac:dyDescent="0.2">
      <c r="Z1343" s="1"/>
    </row>
    <row r="1344" spans="26:26" x14ac:dyDescent="0.2">
      <c r="Z1344" s="1"/>
    </row>
    <row r="1345" spans="26:26" x14ac:dyDescent="0.2">
      <c r="Z1345" s="1"/>
    </row>
    <row r="1346" spans="26:26" x14ac:dyDescent="0.2">
      <c r="Z1346" s="1"/>
    </row>
    <row r="1347" spans="26:26" x14ac:dyDescent="0.2">
      <c r="Z1347" s="1"/>
    </row>
    <row r="1348" spans="26:26" x14ac:dyDescent="0.2">
      <c r="Z1348" s="1"/>
    </row>
    <row r="1349" spans="26:26" x14ac:dyDescent="0.2">
      <c r="Z1349" s="1"/>
    </row>
    <row r="1350" spans="26:26" x14ac:dyDescent="0.2">
      <c r="Z1350" s="1"/>
    </row>
    <row r="1351" spans="26:26" x14ac:dyDescent="0.2">
      <c r="Z1351" s="1"/>
    </row>
    <row r="1352" spans="26:26" x14ac:dyDescent="0.2">
      <c r="Z1352" s="1"/>
    </row>
    <row r="1353" spans="26:26" x14ac:dyDescent="0.2">
      <c r="Z1353" s="1"/>
    </row>
    <row r="1354" spans="26:26" x14ac:dyDescent="0.2">
      <c r="Z1354" s="1"/>
    </row>
    <row r="1355" spans="26:26" x14ac:dyDescent="0.2">
      <c r="Z1355" s="1"/>
    </row>
    <row r="1356" spans="26:26" x14ac:dyDescent="0.2">
      <c r="Z1356" s="1"/>
    </row>
    <row r="1357" spans="26:26" x14ac:dyDescent="0.2">
      <c r="Z1357" s="1"/>
    </row>
    <row r="1358" spans="26:26" x14ac:dyDescent="0.2">
      <c r="Z1358" s="1"/>
    </row>
    <row r="1359" spans="26:26" x14ac:dyDescent="0.2">
      <c r="Z1359" s="1"/>
    </row>
    <row r="1360" spans="26:26" x14ac:dyDescent="0.2">
      <c r="Z1360" s="1"/>
    </row>
    <row r="1361" spans="26:26" x14ac:dyDescent="0.2">
      <c r="Z1361" s="1"/>
    </row>
    <row r="1362" spans="26:26" x14ac:dyDescent="0.2">
      <c r="Z1362" s="1"/>
    </row>
    <row r="1363" spans="26:26" x14ac:dyDescent="0.2">
      <c r="Z1363" s="1"/>
    </row>
    <row r="1364" spans="26:26" x14ac:dyDescent="0.2">
      <c r="Z1364" s="1"/>
    </row>
    <row r="1365" spans="26:26" x14ac:dyDescent="0.2">
      <c r="Z1365" s="1"/>
    </row>
    <row r="1366" spans="26:26" x14ac:dyDescent="0.2">
      <c r="Z1366" s="1"/>
    </row>
    <row r="1367" spans="26:26" x14ac:dyDescent="0.2">
      <c r="Z1367" s="1"/>
    </row>
    <row r="1368" spans="26:26" x14ac:dyDescent="0.2">
      <c r="Z1368" s="1"/>
    </row>
    <row r="1369" spans="26:26" x14ac:dyDescent="0.2">
      <c r="Z1369" s="1"/>
    </row>
    <row r="1370" spans="26:26" x14ac:dyDescent="0.2">
      <c r="Z1370" s="1"/>
    </row>
    <row r="1371" spans="26:26" x14ac:dyDescent="0.2">
      <c r="Z1371" s="1"/>
    </row>
    <row r="1372" spans="26:26" x14ac:dyDescent="0.2">
      <c r="Z1372" s="1"/>
    </row>
    <row r="1373" spans="26:26" x14ac:dyDescent="0.2">
      <c r="Z1373" s="1"/>
    </row>
    <row r="1374" spans="26:26" x14ac:dyDescent="0.2">
      <c r="Z1374" s="1"/>
    </row>
    <row r="1375" spans="26:26" x14ac:dyDescent="0.2">
      <c r="Z1375" s="1"/>
    </row>
    <row r="1376" spans="26:26" x14ac:dyDescent="0.2">
      <c r="Z1376" s="1"/>
    </row>
    <row r="1377" spans="26:26" x14ac:dyDescent="0.2">
      <c r="Z1377" s="1"/>
    </row>
    <row r="1378" spans="26:26" x14ac:dyDescent="0.2">
      <c r="Z1378" s="1"/>
    </row>
    <row r="1379" spans="26:26" x14ac:dyDescent="0.2">
      <c r="Z1379" s="1"/>
    </row>
    <row r="1380" spans="26:26" x14ac:dyDescent="0.2">
      <c r="Z1380" s="1"/>
    </row>
    <row r="1381" spans="26:26" x14ac:dyDescent="0.2">
      <c r="Z1381" s="1"/>
    </row>
    <row r="1382" spans="26:26" x14ac:dyDescent="0.2">
      <c r="Z1382" s="1"/>
    </row>
    <row r="1383" spans="26:26" x14ac:dyDescent="0.2">
      <c r="Z1383" s="1"/>
    </row>
    <row r="1384" spans="26:26" x14ac:dyDescent="0.2">
      <c r="Z1384" s="1"/>
    </row>
    <row r="1385" spans="26:26" x14ac:dyDescent="0.2">
      <c r="Z1385" s="1"/>
    </row>
    <row r="1386" spans="26:26" x14ac:dyDescent="0.2">
      <c r="Z1386" s="1"/>
    </row>
    <row r="1387" spans="26:26" x14ac:dyDescent="0.2">
      <c r="Z1387" s="1"/>
    </row>
    <row r="1388" spans="26:26" x14ac:dyDescent="0.2">
      <c r="Z1388" s="1"/>
    </row>
    <row r="1389" spans="26:26" x14ac:dyDescent="0.2">
      <c r="Z1389" s="1"/>
    </row>
    <row r="1390" spans="26:26" x14ac:dyDescent="0.2">
      <c r="Z1390" s="1"/>
    </row>
    <row r="1391" spans="26:26" x14ac:dyDescent="0.2">
      <c r="Z1391" s="1"/>
    </row>
    <row r="1392" spans="26:26" x14ac:dyDescent="0.2">
      <c r="Z1392" s="1"/>
    </row>
    <row r="1393" spans="26:26" x14ac:dyDescent="0.2">
      <c r="Z1393" s="1"/>
    </row>
    <row r="1394" spans="26:26" x14ac:dyDescent="0.2">
      <c r="Z1394" s="1"/>
    </row>
    <row r="1395" spans="26:26" x14ac:dyDescent="0.2">
      <c r="Z1395" s="1"/>
    </row>
    <row r="1396" spans="26:26" x14ac:dyDescent="0.2">
      <c r="Z1396" s="1"/>
    </row>
    <row r="1397" spans="26:26" x14ac:dyDescent="0.2">
      <c r="Z1397" s="1"/>
    </row>
    <row r="1398" spans="26:26" x14ac:dyDescent="0.2">
      <c r="Z1398" s="1"/>
    </row>
    <row r="1399" spans="26:26" x14ac:dyDescent="0.2">
      <c r="Z1399" s="1"/>
    </row>
    <row r="1400" spans="26:26" x14ac:dyDescent="0.2">
      <c r="Z1400" s="1"/>
    </row>
    <row r="1401" spans="26:26" x14ac:dyDescent="0.2">
      <c r="Z1401" s="1"/>
    </row>
    <row r="1402" spans="26:26" x14ac:dyDescent="0.2">
      <c r="Z1402" s="1"/>
    </row>
    <row r="1403" spans="26:26" x14ac:dyDescent="0.2">
      <c r="Z1403" s="1"/>
    </row>
    <row r="1404" spans="26:26" x14ac:dyDescent="0.2">
      <c r="Z1404" s="1"/>
    </row>
    <row r="1405" spans="26:26" x14ac:dyDescent="0.2">
      <c r="Z1405" s="1"/>
    </row>
    <row r="1406" spans="26:26" x14ac:dyDescent="0.2">
      <c r="Z1406" s="1"/>
    </row>
    <row r="1407" spans="26:26" x14ac:dyDescent="0.2">
      <c r="Z1407" s="1"/>
    </row>
    <row r="1408" spans="26:26" x14ac:dyDescent="0.2">
      <c r="Z1408" s="1"/>
    </row>
    <row r="1409" spans="26:26" x14ac:dyDescent="0.2">
      <c r="Z1409" s="1"/>
    </row>
    <row r="1410" spans="26:26" x14ac:dyDescent="0.2">
      <c r="Z1410" s="1"/>
    </row>
    <row r="1411" spans="26:26" x14ac:dyDescent="0.2">
      <c r="Z1411" s="1"/>
    </row>
    <row r="1412" spans="26:26" x14ac:dyDescent="0.2">
      <c r="Z1412" s="1"/>
    </row>
    <row r="1413" spans="26:26" x14ac:dyDescent="0.2">
      <c r="Z1413" s="1"/>
    </row>
    <row r="1414" spans="26:26" x14ac:dyDescent="0.2">
      <c r="Z1414" s="1"/>
    </row>
    <row r="1415" spans="26:26" x14ac:dyDescent="0.2">
      <c r="Z1415" s="1"/>
    </row>
    <row r="1416" spans="26:26" x14ac:dyDescent="0.2">
      <c r="Z1416" s="1"/>
    </row>
    <row r="1417" spans="26:26" x14ac:dyDescent="0.2">
      <c r="Z1417" s="1"/>
    </row>
    <row r="1418" spans="26:26" x14ac:dyDescent="0.2">
      <c r="Z1418" s="1"/>
    </row>
    <row r="1419" spans="26:26" x14ac:dyDescent="0.2">
      <c r="Z1419" s="1"/>
    </row>
    <row r="1420" spans="26:26" x14ac:dyDescent="0.2">
      <c r="Z1420" s="1"/>
    </row>
    <row r="1421" spans="26:26" x14ac:dyDescent="0.2">
      <c r="Z1421" s="1"/>
    </row>
    <row r="1422" spans="26:26" x14ac:dyDescent="0.2">
      <c r="Z1422" s="1"/>
    </row>
    <row r="1423" spans="26:26" x14ac:dyDescent="0.2">
      <c r="Z1423" s="1"/>
    </row>
    <row r="1424" spans="26:26" x14ac:dyDescent="0.2">
      <c r="Z1424" s="1"/>
    </row>
    <row r="1425" spans="26:26" x14ac:dyDescent="0.2">
      <c r="Z1425" s="1"/>
    </row>
    <row r="1426" spans="26:26" x14ac:dyDescent="0.2">
      <c r="Z1426" s="1"/>
    </row>
    <row r="1427" spans="26:26" x14ac:dyDescent="0.2">
      <c r="Z1427" s="1"/>
    </row>
    <row r="1428" spans="26:26" x14ac:dyDescent="0.2">
      <c r="Z1428" s="1"/>
    </row>
    <row r="1429" spans="26:26" x14ac:dyDescent="0.2">
      <c r="Z1429" s="1"/>
    </row>
    <row r="1430" spans="26:26" x14ac:dyDescent="0.2">
      <c r="Z1430" s="1"/>
    </row>
    <row r="1431" spans="26:26" x14ac:dyDescent="0.2">
      <c r="Z1431" s="1"/>
    </row>
    <row r="1432" spans="26:26" x14ac:dyDescent="0.2">
      <c r="Z1432" s="1"/>
    </row>
    <row r="1433" spans="26:26" x14ac:dyDescent="0.2">
      <c r="Z1433" s="1"/>
    </row>
    <row r="1434" spans="26:26" x14ac:dyDescent="0.2">
      <c r="Z1434" s="1"/>
    </row>
    <row r="1435" spans="26:26" x14ac:dyDescent="0.2">
      <c r="Z1435" s="1"/>
    </row>
    <row r="1436" spans="26:26" x14ac:dyDescent="0.2">
      <c r="Z1436" s="1"/>
    </row>
    <row r="1437" spans="26:26" x14ac:dyDescent="0.2">
      <c r="Z1437" s="1"/>
    </row>
    <row r="1438" spans="26:26" x14ac:dyDescent="0.2">
      <c r="Z1438" s="1"/>
    </row>
    <row r="1439" spans="26:26" x14ac:dyDescent="0.2">
      <c r="Z1439" s="1"/>
    </row>
    <row r="1440" spans="26:26" x14ac:dyDescent="0.2">
      <c r="Z1440" s="1"/>
    </row>
    <row r="1441" spans="26:26" x14ac:dyDescent="0.2">
      <c r="Z1441" s="1"/>
    </row>
    <row r="1442" spans="26:26" x14ac:dyDescent="0.2">
      <c r="Z1442" s="1"/>
    </row>
    <row r="1443" spans="26:26" x14ac:dyDescent="0.2">
      <c r="Z1443" s="1"/>
    </row>
    <row r="1444" spans="26:26" x14ac:dyDescent="0.2">
      <c r="Z1444" s="1"/>
    </row>
    <row r="1445" spans="26:26" x14ac:dyDescent="0.2">
      <c r="Z1445" s="1"/>
    </row>
    <row r="1446" spans="26:26" x14ac:dyDescent="0.2">
      <c r="Z1446" s="1"/>
    </row>
    <row r="1447" spans="26:26" x14ac:dyDescent="0.2">
      <c r="Z1447" s="1"/>
    </row>
    <row r="1448" spans="26:26" x14ac:dyDescent="0.2">
      <c r="Z1448" s="1"/>
    </row>
    <row r="1449" spans="26:26" x14ac:dyDescent="0.2">
      <c r="Z1449" s="1"/>
    </row>
    <row r="1450" spans="26:26" x14ac:dyDescent="0.2">
      <c r="Z1450" s="1"/>
    </row>
    <row r="1451" spans="26:26" x14ac:dyDescent="0.2">
      <c r="Z1451" s="1"/>
    </row>
    <row r="1452" spans="26:26" x14ac:dyDescent="0.2">
      <c r="Z1452" s="1"/>
    </row>
    <row r="1453" spans="26:26" x14ac:dyDescent="0.2">
      <c r="Z1453" s="1"/>
    </row>
    <row r="1454" spans="26:26" x14ac:dyDescent="0.2">
      <c r="Z1454" s="1"/>
    </row>
    <row r="1455" spans="26:26" x14ac:dyDescent="0.2">
      <c r="Z1455" s="1"/>
    </row>
    <row r="1456" spans="26:26" x14ac:dyDescent="0.2">
      <c r="Z1456" s="1"/>
    </row>
    <row r="1457" spans="26:26" x14ac:dyDescent="0.2">
      <c r="Z1457" s="1"/>
    </row>
    <row r="1458" spans="26:26" x14ac:dyDescent="0.2">
      <c r="Z1458" s="1"/>
    </row>
    <row r="1459" spans="26:26" x14ac:dyDescent="0.2">
      <c r="Z1459" s="1"/>
    </row>
    <row r="1460" spans="26:26" x14ac:dyDescent="0.2">
      <c r="Z1460" s="1"/>
    </row>
    <row r="1461" spans="26:26" x14ac:dyDescent="0.2">
      <c r="Z1461" s="1"/>
    </row>
    <row r="1462" spans="26:26" x14ac:dyDescent="0.2">
      <c r="Z1462" s="1"/>
    </row>
    <row r="1463" spans="26:26" x14ac:dyDescent="0.2">
      <c r="Z1463" s="1"/>
    </row>
    <row r="1464" spans="26:26" x14ac:dyDescent="0.2">
      <c r="Z1464" s="1"/>
    </row>
    <row r="1465" spans="26:26" x14ac:dyDescent="0.2">
      <c r="Z1465" s="1"/>
    </row>
    <row r="1466" spans="26:26" x14ac:dyDescent="0.2">
      <c r="Z1466" s="1"/>
    </row>
    <row r="1467" spans="26:26" x14ac:dyDescent="0.2">
      <c r="Z1467" s="1"/>
    </row>
    <row r="1468" spans="26:26" x14ac:dyDescent="0.2">
      <c r="Z1468" s="1"/>
    </row>
    <row r="1469" spans="26:26" x14ac:dyDescent="0.2">
      <c r="Z1469" s="1"/>
    </row>
    <row r="1470" spans="26:26" x14ac:dyDescent="0.2">
      <c r="Z1470" s="1"/>
    </row>
    <row r="1471" spans="26:26" x14ac:dyDescent="0.2">
      <c r="Z1471" s="1"/>
    </row>
    <row r="1472" spans="26:26" x14ac:dyDescent="0.2">
      <c r="Z1472" s="1"/>
    </row>
    <row r="1473" spans="26:26" x14ac:dyDescent="0.2">
      <c r="Z1473" s="1"/>
    </row>
    <row r="1474" spans="26:26" x14ac:dyDescent="0.2">
      <c r="Z1474" s="1"/>
    </row>
    <row r="1475" spans="26:26" x14ac:dyDescent="0.2">
      <c r="Z1475" s="1"/>
    </row>
    <row r="1476" spans="26:26" x14ac:dyDescent="0.2">
      <c r="Z1476" s="1"/>
    </row>
    <row r="1477" spans="26:26" x14ac:dyDescent="0.2">
      <c r="Z1477" s="1"/>
    </row>
    <row r="1478" spans="26:26" x14ac:dyDescent="0.2">
      <c r="Z1478" s="1"/>
    </row>
    <row r="1479" spans="26:26" x14ac:dyDescent="0.2">
      <c r="Z1479" s="1"/>
    </row>
    <row r="1480" spans="26:26" x14ac:dyDescent="0.2">
      <c r="Z1480" s="1"/>
    </row>
    <row r="1481" spans="26:26" x14ac:dyDescent="0.2">
      <c r="Z1481" s="1"/>
    </row>
    <row r="1482" spans="26:26" x14ac:dyDescent="0.2">
      <c r="Z1482" s="1"/>
    </row>
    <row r="1483" spans="26:26" x14ac:dyDescent="0.2">
      <c r="Z1483" s="1"/>
    </row>
    <row r="1484" spans="26:26" x14ac:dyDescent="0.2">
      <c r="Z1484" s="1"/>
    </row>
    <row r="1485" spans="26:26" x14ac:dyDescent="0.2">
      <c r="Z1485" s="1"/>
    </row>
    <row r="1486" spans="26:26" x14ac:dyDescent="0.2">
      <c r="Z1486" s="1"/>
    </row>
    <row r="1487" spans="26:26" x14ac:dyDescent="0.2">
      <c r="Z1487" s="1"/>
    </row>
    <row r="1488" spans="26:26" x14ac:dyDescent="0.2">
      <c r="Z1488" s="1"/>
    </row>
    <row r="1489" spans="26:26" x14ac:dyDescent="0.2">
      <c r="Z1489" s="1"/>
    </row>
    <row r="1490" spans="26:26" x14ac:dyDescent="0.2">
      <c r="Z1490" s="1"/>
    </row>
    <row r="1491" spans="26:26" x14ac:dyDescent="0.2">
      <c r="Z1491" s="1"/>
    </row>
    <row r="1492" spans="26:26" x14ac:dyDescent="0.2">
      <c r="Z1492" s="1"/>
    </row>
    <row r="1493" spans="26:26" x14ac:dyDescent="0.2">
      <c r="Z1493" s="1"/>
    </row>
    <row r="1494" spans="26:26" x14ac:dyDescent="0.2">
      <c r="Z1494" s="1"/>
    </row>
    <row r="1495" spans="26:26" x14ac:dyDescent="0.2">
      <c r="Z1495" s="1"/>
    </row>
    <row r="1496" spans="26:26" x14ac:dyDescent="0.2">
      <c r="Z1496" s="1"/>
    </row>
    <row r="1497" spans="26:26" x14ac:dyDescent="0.2">
      <c r="Z1497" s="1"/>
    </row>
    <row r="1498" spans="26:26" x14ac:dyDescent="0.2">
      <c r="Z1498" s="1"/>
    </row>
    <row r="1499" spans="26:26" x14ac:dyDescent="0.2">
      <c r="Z1499" s="1"/>
    </row>
    <row r="1500" spans="26:26" x14ac:dyDescent="0.2">
      <c r="Z1500" s="1"/>
    </row>
    <row r="1501" spans="26:26" x14ac:dyDescent="0.2">
      <c r="Z1501" s="1"/>
    </row>
    <row r="1502" spans="26:26" x14ac:dyDescent="0.2">
      <c r="Z1502" s="1"/>
    </row>
    <row r="1503" spans="26:26" x14ac:dyDescent="0.2">
      <c r="Z1503" s="1"/>
    </row>
    <row r="1504" spans="26:26" x14ac:dyDescent="0.2">
      <c r="Z1504" s="1"/>
    </row>
    <row r="1505" spans="26:26" x14ac:dyDescent="0.2">
      <c r="Z1505" s="1"/>
    </row>
    <row r="1506" spans="26:26" x14ac:dyDescent="0.2">
      <c r="Z1506" s="1"/>
    </row>
    <row r="1507" spans="26:26" x14ac:dyDescent="0.2">
      <c r="Z1507" s="1"/>
    </row>
    <row r="1508" spans="26:26" x14ac:dyDescent="0.2">
      <c r="Z1508" s="1"/>
    </row>
    <row r="1509" spans="26:26" x14ac:dyDescent="0.2">
      <c r="Z1509" s="1"/>
    </row>
    <row r="1510" spans="26:26" x14ac:dyDescent="0.2">
      <c r="Z1510" s="1"/>
    </row>
    <row r="1511" spans="26:26" x14ac:dyDescent="0.2">
      <c r="Z1511" s="1"/>
    </row>
    <row r="1512" spans="26:26" x14ac:dyDescent="0.2">
      <c r="Z1512" s="1"/>
    </row>
    <row r="1513" spans="26:26" x14ac:dyDescent="0.2">
      <c r="Z1513" s="1"/>
    </row>
    <row r="1514" spans="26:26" x14ac:dyDescent="0.2">
      <c r="Z1514" s="1"/>
    </row>
    <row r="1515" spans="26:26" x14ac:dyDescent="0.2">
      <c r="Z1515" s="1"/>
    </row>
    <row r="1516" spans="26:26" x14ac:dyDescent="0.2">
      <c r="Z1516" s="1"/>
    </row>
    <row r="1517" spans="26:26" x14ac:dyDescent="0.2">
      <c r="Z1517" s="1"/>
    </row>
    <row r="1518" spans="26:26" x14ac:dyDescent="0.2">
      <c r="Z1518" s="1"/>
    </row>
    <row r="1519" spans="26:26" x14ac:dyDescent="0.2">
      <c r="Z1519" s="1"/>
    </row>
    <row r="1520" spans="26:26" x14ac:dyDescent="0.2">
      <c r="Z1520" s="1"/>
    </row>
    <row r="1521" spans="26:26" x14ac:dyDescent="0.2">
      <c r="Z1521" s="1"/>
    </row>
    <row r="1522" spans="26:26" x14ac:dyDescent="0.2">
      <c r="Z1522" s="1"/>
    </row>
    <row r="1523" spans="26:26" x14ac:dyDescent="0.2">
      <c r="Z1523" s="1"/>
    </row>
    <row r="1524" spans="26:26" x14ac:dyDescent="0.2">
      <c r="Z1524" s="1"/>
    </row>
    <row r="1525" spans="26:26" x14ac:dyDescent="0.2">
      <c r="Z1525" s="1"/>
    </row>
    <row r="1526" spans="26:26" x14ac:dyDescent="0.2">
      <c r="Z1526" s="1"/>
    </row>
    <row r="1527" spans="26:26" x14ac:dyDescent="0.2">
      <c r="Z1527" s="1"/>
    </row>
    <row r="1528" spans="26:26" x14ac:dyDescent="0.2">
      <c r="Z1528" s="1"/>
    </row>
    <row r="1529" spans="26:26" x14ac:dyDescent="0.2">
      <c r="Z1529" s="1"/>
    </row>
    <row r="1530" spans="26:26" x14ac:dyDescent="0.2">
      <c r="Z1530" s="1"/>
    </row>
    <row r="1531" spans="26:26" x14ac:dyDescent="0.2">
      <c r="Z1531" s="1"/>
    </row>
    <row r="1532" spans="26:26" x14ac:dyDescent="0.2">
      <c r="Z1532" s="1"/>
    </row>
    <row r="1533" spans="26:26" x14ac:dyDescent="0.2">
      <c r="Z1533" s="1"/>
    </row>
    <row r="1534" spans="26:26" x14ac:dyDescent="0.2">
      <c r="Z1534" s="1"/>
    </row>
    <row r="1535" spans="26:26" x14ac:dyDescent="0.2">
      <c r="Z1535" s="1"/>
    </row>
    <row r="1536" spans="26:26" x14ac:dyDescent="0.2">
      <c r="Z1536" s="1"/>
    </row>
    <row r="1537" spans="26:26" x14ac:dyDescent="0.2">
      <c r="Z1537" s="1"/>
    </row>
    <row r="1538" spans="26:26" x14ac:dyDescent="0.2">
      <c r="Z1538" s="1"/>
    </row>
    <row r="1539" spans="26:26" x14ac:dyDescent="0.2">
      <c r="Z1539" s="1"/>
    </row>
    <row r="1540" spans="26:26" x14ac:dyDescent="0.2">
      <c r="Z1540" s="1"/>
    </row>
    <row r="1541" spans="26:26" x14ac:dyDescent="0.2">
      <c r="Z1541" s="1"/>
    </row>
    <row r="1542" spans="26:26" x14ac:dyDescent="0.2">
      <c r="Z1542" s="1"/>
    </row>
    <row r="1543" spans="26:26" x14ac:dyDescent="0.2">
      <c r="Z1543" s="1"/>
    </row>
    <row r="1544" spans="26:26" x14ac:dyDescent="0.2">
      <c r="Z1544" s="1"/>
    </row>
    <row r="1545" spans="26:26" x14ac:dyDescent="0.2">
      <c r="Z1545" s="1"/>
    </row>
    <row r="1546" spans="26:26" x14ac:dyDescent="0.2">
      <c r="Z1546" s="1"/>
    </row>
    <row r="1547" spans="26:26" x14ac:dyDescent="0.2">
      <c r="Z1547" s="1"/>
    </row>
    <row r="1548" spans="26:26" x14ac:dyDescent="0.2">
      <c r="Z1548" s="1"/>
    </row>
    <row r="1549" spans="26:26" x14ac:dyDescent="0.2">
      <c r="Z1549" s="1"/>
    </row>
    <row r="1550" spans="26:26" x14ac:dyDescent="0.2">
      <c r="Z1550" s="1"/>
    </row>
    <row r="1551" spans="26:26" x14ac:dyDescent="0.2">
      <c r="Z1551" s="1"/>
    </row>
    <row r="1552" spans="26:26" x14ac:dyDescent="0.2">
      <c r="Z1552" s="1"/>
    </row>
    <row r="1553" spans="26:26" x14ac:dyDescent="0.2">
      <c r="Z1553" s="1"/>
    </row>
    <row r="1554" spans="26:26" x14ac:dyDescent="0.2">
      <c r="Z1554" s="1"/>
    </row>
    <row r="1555" spans="26:26" x14ac:dyDescent="0.2">
      <c r="Z1555" s="1"/>
    </row>
    <row r="1556" spans="26:26" x14ac:dyDescent="0.2">
      <c r="Z1556" s="1"/>
    </row>
    <row r="1557" spans="26:26" x14ac:dyDescent="0.2">
      <c r="Z1557" s="1"/>
    </row>
    <row r="1558" spans="26:26" x14ac:dyDescent="0.2">
      <c r="Z1558" s="1"/>
    </row>
    <row r="1559" spans="26:26" x14ac:dyDescent="0.2">
      <c r="Z1559" s="1"/>
    </row>
    <row r="1560" spans="26:26" x14ac:dyDescent="0.2">
      <c r="Z1560" s="1"/>
    </row>
    <row r="1561" spans="26:26" x14ac:dyDescent="0.2">
      <c r="Z1561" s="1"/>
    </row>
    <row r="1562" spans="26:26" x14ac:dyDescent="0.2">
      <c r="Z1562" s="1"/>
    </row>
    <row r="1563" spans="26:26" x14ac:dyDescent="0.2">
      <c r="Z1563" s="1"/>
    </row>
    <row r="1564" spans="26:26" x14ac:dyDescent="0.2">
      <c r="Z1564" s="1"/>
    </row>
    <row r="1565" spans="26:26" x14ac:dyDescent="0.2">
      <c r="Z1565" s="1"/>
    </row>
    <row r="1566" spans="26:26" x14ac:dyDescent="0.2">
      <c r="Z1566" s="1"/>
    </row>
    <row r="1567" spans="26:26" x14ac:dyDescent="0.2">
      <c r="Z1567" s="1"/>
    </row>
    <row r="1568" spans="26:26" x14ac:dyDescent="0.2">
      <c r="Z1568" s="1"/>
    </row>
    <row r="1569" spans="26:26" x14ac:dyDescent="0.2">
      <c r="Z1569" s="1"/>
    </row>
    <row r="1570" spans="26:26" x14ac:dyDescent="0.2">
      <c r="Z1570" s="1"/>
    </row>
    <row r="1571" spans="26:26" x14ac:dyDescent="0.2">
      <c r="Z1571" s="1"/>
    </row>
    <row r="1572" spans="26:26" x14ac:dyDescent="0.2">
      <c r="Z1572" s="1"/>
    </row>
    <row r="1573" spans="26:26" x14ac:dyDescent="0.2">
      <c r="Z1573" s="1"/>
    </row>
    <row r="1574" spans="26:26" x14ac:dyDescent="0.2">
      <c r="Z1574" s="1"/>
    </row>
    <row r="1575" spans="26:26" x14ac:dyDescent="0.2">
      <c r="Z1575" s="1"/>
    </row>
    <row r="1576" spans="26:26" x14ac:dyDescent="0.2">
      <c r="Z1576" s="1"/>
    </row>
    <row r="1577" spans="26:26" x14ac:dyDescent="0.2">
      <c r="Z1577" s="1"/>
    </row>
    <row r="1578" spans="26:26" x14ac:dyDescent="0.2">
      <c r="Z1578" s="1"/>
    </row>
    <row r="1579" spans="26:26" x14ac:dyDescent="0.2">
      <c r="Z1579" s="1"/>
    </row>
    <row r="1580" spans="26:26" x14ac:dyDescent="0.2">
      <c r="Z1580" s="1"/>
    </row>
    <row r="1581" spans="26:26" x14ac:dyDescent="0.2">
      <c r="Z1581" s="1"/>
    </row>
    <row r="1582" spans="26:26" x14ac:dyDescent="0.2">
      <c r="Z1582" s="1"/>
    </row>
    <row r="1583" spans="26:26" x14ac:dyDescent="0.2">
      <c r="Z1583" s="1"/>
    </row>
    <row r="1584" spans="26:26" x14ac:dyDescent="0.2">
      <c r="Z1584" s="1"/>
    </row>
    <row r="1585" spans="26:26" x14ac:dyDescent="0.2">
      <c r="Z1585" s="1"/>
    </row>
    <row r="1586" spans="26:26" x14ac:dyDescent="0.2">
      <c r="Z1586" s="1"/>
    </row>
    <row r="1587" spans="26:26" x14ac:dyDescent="0.2">
      <c r="Z1587" s="1"/>
    </row>
    <row r="1588" spans="26:26" x14ac:dyDescent="0.2">
      <c r="Z1588" s="1"/>
    </row>
    <row r="1589" spans="26:26" x14ac:dyDescent="0.2">
      <c r="Z1589" s="1"/>
    </row>
    <row r="1590" spans="26:26" x14ac:dyDescent="0.2">
      <c r="Z1590" s="1"/>
    </row>
    <row r="1591" spans="26:26" x14ac:dyDescent="0.2">
      <c r="Z1591" s="1"/>
    </row>
    <row r="1592" spans="26:26" x14ac:dyDescent="0.2">
      <c r="Z1592" s="1"/>
    </row>
    <row r="1593" spans="26:26" x14ac:dyDescent="0.2">
      <c r="Z1593" s="1"/>
    </row>
    <row r="1594" spans="26:26" x14ac:dyDescent="0.2">
      <c r="Z1594" s="1"/>
    </row>
    <row r="1595" spans="26:26" x14ac:dyDescent="0.2">
      <c r="Z1595" s="1"/>
    </row>
    <row r="1596" spans="26:26" x14ac:dyDescent="0.2">
      <c r="Z1596" s="1"/>
    </row>
    <row r="1597" spans="26:26" x14ac:dyDescent="0.2">
      <c r="Z1597" s="1"/>
    </row>
    <row r="1598" spans="26:26" x14ac:dyDescent="0.2">
      <c r="Z1598" s="1"/>
    </row>
    <row r="1599" spans="26:26" x14ac:dyDescent="0.2">
      <c r="Z1599" s="1"/>
    </row>
    <row r="1600" spans="26:26" x14ac:dyDescent="0.2">
      <c r="Z1600" s="1"/>
    </row>
    <row r="1601" spans="26:26" x14ac:dyDescent="0.2">
      <c r="Z1601" s="1"/>
    </row>
    <row r="1602" spans="26:26" x14ac:dyDescent="0.2">
      <c r="Z1602" s="1"/>
    </row>
    <row r="1603" spans="26:26" x14ac:dyDescent="0.2">
      <c r="Z1603" s="1"/>
    </row>
    <row r="1604" spans="26:26" x14ac:dyDescent="0.2">
      <c r="Z1604" s="1"/>
    </row>
    <row r="1605" spans="26:26" x14ac:dyDescent="0.2">
      <c r="Z1605" s="1"/>
    </row>
    <row r="1606" spans="26:26" x14ac:dyDescent="0.2">
      <c r="Z1606" s="1"/>
    </row>
    <row r="1607" spans="26:26" x14ac:dyDescent="0.2">
      <c r="Z1607" s="1"/>
    </row>
    <row r="1608" spans="26:26" x14ac:dyDescent="0.2">
      <c r="Z1608" s="1"/>
    </row>
    <row r="1609" spans="26:26" x14ac:dyDescent="0.2">
      <c r="Z1609" s="1"/>
    </row>
    <row r="1610" spans="26:26" x14ac:dyDescent="0.2">
      <c r="Z1610" s="1"/>
    </row>
    <row r="1611" spans="26:26" x14ac:dyDescent="0.2">
      <c r="Z1611" s="1"/>
    </row>
    <row r="1612" spans="26:26" x14ac:dyDescent="0.2">
      <c r="Z1612" s="1"/>
    </row>
    <row r="1613" spans="26:26" x14ac:dyDescent="0.2">
      <c r="Z1613" s="1"/>
    </row>
    <row r="1614" spans="26:26" x14ac:dyDescent="0.2">
      <c r="Z1614" s="1"/>
    </row>
    <row r="1615" spans="26:26" x14ac:dyDescent="0.2">
      <c r="Z1615" s="1"/>
    </row>
    <row r="1616" spans="26:26" x14ac:dyDescent="0.2">
      <c r="Z1616" s="1"/>
    </row>
    <row r="1617" spans="26:26" x14ac:dyDescent="0.2">
      <c r="Z1617" s="1"/>
    </row>
    <row r="1618" spans="26:26" x14ac:dyDescent="0.2">
      <c r="Z1618" s="1"/>
    </row>
    <row r="1619" spans="26:26" x14ac:dyDescent="0.2">
      <c r="Z1619" s="1"/>
    </row>
    <row r="1620" spans="26:26" x14ac:dyDescent="0.2">
      <c r="Z1620" s="1"/>
    </row>
    <row r="1621" spans="26:26" x14ac:dyDescent="0.2">
      <c r="Z1621" s="1"/>
    </row>
    <row r="1622" spans="26:26" x14ac:dyDescent="0.2">
      <c r="Z1622" s="1"/>
    </row>
    <row r="1623" spans="26:26" x14ac:dyDescent="0.2">
      <c r="Z1623" s="1"/>
    </row>
    <row r="1624" spans="26:26" x14ac:dyDescent="0.2">
      <c r="Z1624" s="1"/>
    </row>
    <row r="1625" spans="26:26" x14ac:dyDescent="0.2">
      <c r="Z1625" s="1"/>
    </row>
    <row r="1626" spans="26:26" x14ac:dyDescent="0.2">
      <c r="Z1626" s="1"/>
    </row>
    <row r="1627" spans="26:26" x14ac:dyDescent="0.2">
      <c r="Z1627" s="1"/>
    </row>
    <row r="1628" spans="26:26" x14ac:dyDescent="0.2">
      <c r="Z1628" s="1"/>
    </row>
    <row r="1629" spans="26:26" x14ac:dyDescent="0.2">
      <c r="Z1629" s="1"/>
    </row>
    <row r="1630" spans="26:26" x14ac:dyDescent="0.2">
      <c r="Z1630" s="1"/>
    </row>
    <row r="1631" spans="26:26" x14ac:dyDescent="0.2">
      <c r="Z1631" s="1"/>
    </row>
    <row r="1632" spans="26:26" x14ac:dyDescent="0.2">
      <c r="Z1632" s="1"/>
    </row>
    <row r="1633" spans="26:26" x14ac:dyDescent="0.2">
      <c r="Z1633" s="1"/>
    </row>
  </sheetData>
  <phoneticPr fontId="3" type="noConversion"/>
  <printOptions horizontalCentered="1"/>
  <pageMargins left="0.75" right="0.75" top="1" bottom="1" header="0.5" footer="0.5"/>
  <pageSetup scale="58" orientation="portrait" blackAndWhite="1" r:id="rId1"/>
  <headerFooter alignWithMargins="0">
    <oddHeader xml:space="preserve">&amp;L&amp;"Arial"&amp;10  
  &amp;R&amp;"Arial"&amp;10  EXHIBIT 2
SHEET 9
</oddHeader>
    <oddFooter xml:space="preserve">&amp;L&amp;"Arial"&amp;10 &amp;C&amp;"Arial"&amp;10 &amp;R&amp;"Arial"&amp;10 </oddFooter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ExpAvg_Comments</vt:lpstr>
      <vt:lpstr>ExpAvg_Comments!Print_Area</vt:lpstr>
    </vt:vector>
  </TitlesOfParts>
  <Company>William M. Mercer, Inc.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Tod Brendel</dc:creator>
  <cp:lastModifiedBy>Settle, Brian</cp:lastModifiedBy>
  <cp:lastPrinted>2016-12-13T17:58:20Z</cp:lastPrinted>
  <dcterms:created xsi:type="dcterms:W3CDTF">1999-12-05T16:34:50Z</dcterms:created>
  <dcterms:modified xsi:type="dcterms:W3CDTF">2017-06-27T17:34:40Z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{64BE1177-9068-4BA4-A32B-2113190FE99E}</vt:lpwstr>
  </property>
</Properties>
</file>